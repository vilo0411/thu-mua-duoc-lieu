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thu-mua-duoc-lieu\"/>
    </mc:Choice>
  </mc:AlternateContent>
  <xr:revisionPtr revIDLastSave="0" documentId="13_ncr:1_{B969F8A8-A52A-460B-B3BD-2A0422FE0D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tegory Mapping" sheetId="12" r:id="rId1"/>
    <sheet name="Content Clusters" sheetId="11" r:id="rId2"/>
    <sheet name="Keyword Mapping" sheetId="1" r:id="rId3"/>
    <sheet name="Mindmap Summary" sheetId="2" r:id="rId4"/>
  </sheets>
  <calcPr calcId="191029"/>
</workbook>
</file>

<file path=xl/calcChain.xml><?xml version="1.0" encoding="utf-8"?>
<calcChain xmlns="http://schemas.openxmlformats.org/spreadsheetml/2006/main">
  <c r="C11" i="2" l="1"/>
  <c r="D10" i="2"/>
  <c r="D9" i="2"/>
  <c r="D8" i="2"/>
  <c r="D7" i="2"/>
  <c r="D6" i="2"/>
  <c r="D5" i="2"/>
  <c r="D4" i="2"/>
  <c r="D3" i="2"/>
  <c r="D11" i="2" s="1"/>
</calcChain>
</file>

<file path=xl/sharedStrings.xml><?xml version="1.0" encoding="utf-8"?>
<sst xmlns="http://schemas.openxmlformats.org/spreadsheetml/2006/main" count="1436" uniqueCount="430">
  <si>
    <t>Chủ đề chính (Pillar)</t>
  </si>
  <si>
    <t>Cụm chủ đề (Cluster)</t>
  </si>
  <si>
    <t>Từ khóa (Keyword)</t>
  </si>
  <si>
    <t>Ý định tìm kiếm / Gợi ý SEO Title</t>
  </si>
  <si>
    <t>Search Intent</t>
  </si>
  <si>
    <t>Mức độ ưu tiên</t>
  </si>
  <si>
    <t>1. Khái niệm &amp; Phân loại Giống</t>
  </si>
  <si>
    <t>Định nghĩa &amp; Tổng quan</t>
  </si>
  <si>
    <t>Định nghĩa/wiki</t>
  </si>
  <si>
    <t>Khái niệm chung về cây dược liệu</t>
  </si>
  <si>
    <t>Informational</t>
  </si>
  <si>
    <t>Thấp</t>
  </si>
  <si>
    <t>cây dược liệu</t>
  </si>
  <si>
    <t>Định nghĩa và phân loại cây dược liệu</t>
  </si>
  <si>
    <t>cây giá trị cao</t>
  </si>
  <si>
    <t>Các loại cây dược liệu có giá trị kinh tế cao</t>
  </si>
  <si>
    <t>Trung bình</t>
  </si>
  <si>
    <t>Cao</t>
  </si>
  <si>
    <t>Phân loại giống cây</t>
  </si>
  <si>
    <t>Giống cây dược liệu lấy củ</t>
  </si>
  <si>
    <t>Tổng hợp các loại cây dược liệu lấy củ</t>
  </si>
  <si>
    <t>Giống cây dược liệu lấy lá/thân</t>
  </si>
  <si>
    <t>Tổng hợp các loại cây dược liệu lấy lá và thân</t>
  </si>
  <si>
    <t>theo cây</t>
  </si>
  <si>
    <t>Phân loại giống cây dược liệu theo tên cây</t>
  </si>
  <si>
    <t>theo vùng/địa điểm</t>
  </si>
  <si>
    <t>Phân loại cây dược liệu theo vùng miền sinh trưởng</t>
  </si>
  <si>
    <t>2. Kỹ thuật Nhân giống</t>
  </si>
  <si>
    <t>Nhân giống hữu tính</t>
  </si>
  <si>
    <t>hữu tính (nhân giống bằng hạt)</t>
  </si>
  <si>
    <t>Kỹ thuật nhân giống cây dược liệu bằng hạt</t>
  </si>
  <si>
    <t>Tạo ra cá thể mới thông qua quá trình hình thành và kết hợp giữa giao tử đực và giao tử cái (sự thụ phấn và thụ tinh)</t>
  </si>
  <si>
    <t>Khái niệm nhân giống hữu tính ở cây dược liệu</t>
  </si>
  <si>
    <t>xử lý hạt giống</t>
  </si>
  <si>
    <t>Kỹ thuật xử lý hạt giống cây dược liệu trước khi gieo</t>
  </si>
  <si>
    <t>ngâm</t>
  </si>
  <si>
    <t>Phương pháp ngâm hạt giống dược liệu</t>
  </si>
  <si>
    <t>ủ</t>
  </si>
  <si>
    <t>Phương pháp ủ hạt giống dược liệu nảy mầm</t>
  </si>
  <si>
    <t>vật lý</t>
  </si>
  <si>
    <t>Xử lý hạt giống bằng phương pháp vật lý</t>
  </si>
  <si>
    <t>hóa học</t>
  </si>
  <si>
    <t>Xử lý hạt giống bằng phương pháp hóa học</t>
  </si>
  <si>
    <t>Nhân giống vô tính</t>
  </si>
  <si>
    <t>vô tính</t>
  </si>
  <si>
    <t>Kỹ thuật nhân giống vô tính cây dược liệu</t>
  </si>
  <si>
    <t>Tạo ra cá thể mới từ một phần cơ quan dinh dưỡng (rễ, thân, lá) hoặc tế bào</t>
  </si>
  <si>
    <t>Khái niệm nhân giống vô tính ở cây trồng</t>
  </si>
  <si>
    <t>chiết cành</t>
  </si>
  <si>
    <t>Kỹ thuật chiết cành cây dược liệu đúng chuẩn</t>
  </si>
  <si>
    <t>giâm cành</t>
  </si>
  <si>
    <t>Kỹ thuật giâm cành cây dược liệu đạt tỷ lệ sống cao</t>
  </si>
  <si>
    <t>ghép cành</t>
  </si>
  <si>
    <t>Kỹ thuật ghép cành cây dược liệu</t>
  </si>
  <si>
    <t>nuôi cấy mô</t>
  </si>
  <si>
    <t>Phương pháp nuôi cấy mô tế bào cây dược liệu</t>
  </si>
  <si>
    <t>3. Đất trồng &amp; Phân bón</t>
  </si>
  <si>
    <t>Đất trồng &amp; Giá thể</t>
  </si>
  <si>
    <t>Kỹ thuật trồng</t>
  </si>
  <si>
    <t>Kỹ thuật trồng và chăm sóc cây dược liệu</t>
  </si>
  <si>
    <t>đất trồng</t>
  </si>
  <si>
    <t>Cách chọn và cải tạo đất trồng cây dược liệu</t>
  </si>
  <si>
    <t>phân loại đất trồng</t>
  </si>
  <si>
    <t>Phân loại các nhóm đất trồng phổ biến</t>
  </si>
  <si>
    <t>đất thịt</t>
  </si>
  <si>
    <t>Đặc điểm và ứng dụng của đất thịt trong trồng trọt</t>
  </si>
  <si>
    <t>Đất phù sa</t>
  </si>
  <si>
    <t>Ưu điểm của đất phù sa khi trồng cây dược liệu</t>
  </si>
  <si>
    <t>đất sét</t>
  </si>
  <si>
    <t>Đặc điểm đất sét và cách xử lý khi trồng cây</t>
  </si>
  <si>
    <t>đất cát</t>
  </si>
  <si>
    <t>Đặc điểm đất cát và cây dược liệu thích hợp</t>
  </si>
  <si>
    <t>chỉ số về đất trồng</t>
  </si>
  <si>
    <t>Các chỉ số quan trọng đánh giá chất lượng đất trồng</t>
  </si>
  <si>
    <t>độ PH của đát</t>
  </si>
  <si>
    <t>Cách đo và điều chỉnh độ pH của đất trồng</t>
  </si>
  <si>
    <t>Độ tơi xốp của đất</t>
  </si>
  <si>
    <t>Biện pháp tăng độ tơi xốp cho đất trồng</t>
  </si>
  <si>
    <t>kim loại nặng trong đất</t>
  </si>
  <si>
    <t>Tác hại và cách xử lý kim loại nặng trong đất trồng dược liệu</t>
  </si>
  <si>
    <t>giá thể</t>
  </si>
  <si>
    <t>Các loại giá thể trồng cây dược liệu tốt nhất</t>
  </si>
  <si>
    <t>phối trộn đất trồng cây</t>
  </si>
  <si>
    <t>Hướng dẫn cách phối trộn đất trồng cây dược liệu</t>
  </si>
  <si>
    <t>tỷ lệ trộn đất trồng</t>
  </si>
  <si>
    <t>Tỷ lệ trộn đất trồng chuẩn cho từng loại cây</t>
  </si>
  <si>
    <t>trộn vỏ trấu vào đất</t>
  </si>
  <si>
    <t>Tác dụng của việc trộn vỏ trấu vào đất trồng</t>
  </si>
  <si>
    <t>trộn xơ dừa với đất</t>
  </si>
  <si>
    <t>Cách trộn xơ dừa với đất trồng cây</t>
  </si>
  <si>
    <t>Kỹ thuật bón phân</t>
  </si>
  <si>
    <t>bón phân</t>
  </si>
  <si>
    <t>Kỹ thuật bón phân cho cây dược liệu</t>
  </si>
  <si>
    <t>phương pháp</t>
  </si>
  <si>
    <t>Các phương pháp bón phân hiệu quả</t>
  </si>
  <si>
    <t>bón lót</t>
  </si>
  <si>
    <t>Kỹ thuật bón lót trước khi trồng cây</t>
  </si>
  <si>
    <t>bón thúc</t>
  </si>
  <si>
    <t>Kỹ thuật bón thúc cho cây dược liệu theo giai đoạn</t>
  </si>
  <si>
    <t>phân loại</t>
  </si>
  <si>
    <t>Phân loại các nhóm phân bón cây trồng</t>
  </si>
  <si>
    <t>bón hữu cơ</t>
  </si>
  <si>
    <t>Tác dụng và cách bón phân hữu cơ cho dược liệu</t>
  </si>
  <si>
    <t>trùn quế</t>
  </si>
  <si>
    <t>Sử dụng phân trùn quế trồng dược liệu sạch</t>
  </si>
  <si>
    <t>bón vô cơ</t>
  </si>
  <si>
    <t>Cách sử dụng phân bón vô cơ hợp lý</t>
  </si>
  <si>
    <t>phân npk</t>
  </si>
  <si>
    <t>Cách bón phân NPK cho cây dược liệu phát triển tốt</t>
  </si>
  <si>
    <t>4. Sâu bệnh &amp; Diệt cỏ</t>
  </si>
  <si>
    <t>Diệt cỏ dại</t>
  </si>
  <si>
    <t>diệt cỏ</t>
  </si>
  <si>
    <t>Các phương pháp diệt cỏ dại hiệu quả</t>
  </si>
  <si>
    <t>cách diệt cỏ dại</t>
  </si>
  <si>
    <t>Hướng dẫn cách diệt cỏ dại tận gốc</t>
  </si>
  <si>
    <t>diệt cỏ bằng muối</t>
  </si>
  <si>
    <t>Cách diệt cỏ bằng muối an toàn, tự nhiên</t>
  </si>
  <si>
    <t>Bệnh hại cây trồng</t>
  </si>
  <si>
    <t>sâu bệnh</t>
  </si>
  <si>
    <t>Tổng hợp các loại sâu bệnh hại cây dược liệu</t>
  </si>
  <si>
    <t>bệnh hại lá</t>
  </si>
  <si>
    <t>Các bệnh thường gặp trên lá cây dược liệu</t>
  </si>
  <si>
    <t>bệnh đốm lá</t>
  </si>
  <si>
    <t>Cách phòng và trị bệnh đốm lá</t>
  </si>
  <si>
    <t>bệnh thán thư</t>
  </si>
  <si>
    <t>Dấu hiệu và cách chữa bệnh thán thư</t>
  </si>
  <si>
    <t>bệnh héo xanh</t>
  </si>
  <si>
    <t>Nguyên nhân và cách khắc phục bệnh héo xanh</t>
  </si>
  <si>
    <t>bệnh héo vàng</t>
  </si>
  <si>
    <t>Biện pháp phòng trị bệnh héo vàng</t>
  </si>
  <si>
    <t>bệnh mốc sương</t>
  </si>
  <si>
    <t>Cách điều trị bệnh mốc sương hại cây</t>
  </si>
  <si>
    <t>bệnh khảm lá</t>
  </si>
  <si>
    <t>Bệnh khảm lá trên cây dược liệu và cách xử lý</t>
  </si>
  <si>
    <t>bệnh phấn trắng</t>
  </si>
  <si>
    <t>Biện pháp trị bệnh phấn trắng triệt để</t>
  </si>
  <si>
    <t>bệnh mốc xám</t>
  </si>
  <si>
    <t>Đặc điểm và cách phòng bệnh mốc xám</t>
  </si>
  <si>
    <t>bệnh rỉ sắt</t>
  </si>
  <si>
    <t>Cách chữa bệnh rỉ sắt trên cây trồng</t>
  </si>
  <si>
    <t>bệnh muội đen</t>
  </si>
  <si>
    <t>Xử lý bệnh muội đen hại lá cây</t>
  </si>
  <si>
    <t>bệnh hại thân</t>
  </si>
  <si>
    <t>Các bệnh nguy hiểm ảnh hưởng đến thân cây</t>
  </si>
  <si>
    <t>bệnh lở cổ rễ</t>
  </si>
  <si>
    <t>Cách phòng trị bệnh lở cổ rễ cây con</t>
  </si>
  <si>
    <t>bệnh nứt thân xì mủ</t>
  </si>
  <si>
    <t>Nguyên nhân và thuốc trị bệnh nứt thân xì mủ</t>
  </si>
  <si>
    <t>bệnh thối củ</t>
  </si>
  <si>
    <t>Biện pháp chống thối củ ở cây dược liệu lấy củ</t>
  </si>
  <si>
    <t>bệnh thối rễ</t>
  </si>
  <si>
    <t>Cách chữa bệnh thối rễ cây hiệu quả</t>
  </si>
  <si>
    <t>tuyến trùng rễ</t>
  </si>
  <si>
    <t>Tuyến trùng rễ là gì và cách phòng trừ</t>
  </si>
  <si>
    <t>5. Sơ chế &amp; Bảo quản</t>
  </si>
  <si>
    <t>Kỹ thuật sơ chế</t>
  </si>
  <si>
    <t>kỹ thuật sơ chế dược liệu</t>
  </si>
  <si>
    <t>Quy trình và kỹ thuật sơ chế dược liệu chuẩn</t>
  </si>
  <si>
    <t>phương pháp sơ chế</t>
  </si>
  <si>
    <t>Các phương pháp sơ chế dược liệu phổ biến</t>
  </si>
  <si>
    <t>khô</t>
  </si>
  <si>
    <t>Phương pháp sơ chế khô dược liệu</t>
  </si>
  <si>
    <t>phương pháp làm khô</t>
  </si>
  <si>
    <t>Các phương pháp làm khô dược liệu giữ nguyên dược tính</t>
  </si>
  <si>
    <t>phơi âm can (phơi trong bóng râm)</t>
  </si>
  <si>
    <t>Kỹ thuật phơi âm can trong sơ chế dược liệu</t>
  </si>
  <si>
    <t>phơi nắng trực tiếp</t>
  </si>
  <si>
    <t>Khi nào nên phơi nắng trực tiếp dược liệu</t>
  </si>
  <si>
    <t>sấy nhiệt</t>
  </si>
  <si>
    <t>Kỹ thuật sấy nhiệt dược liệu đúng cách</t>
  </si>
  <si>
    <t>sao vàng</t>
  </si>
  <si>
    <t>Kỹ thuật sao vàng hạ thổ dược liệu</t>
  </si>
  <si>
    <t>ướt</t>
  </si>
  <si>
    <t>Phương pháp sơ chế ướt dược liệu</t>
  </si>
  <si>
    <t>Các phương pháp ngâm sơ chế dược liệu</t>
  </si>
  <si>
    <t>rượu</t>
  </si>
  <si>
    <t>Phương pháp ngâm rượu dược liệu</t>
  </si>
  <si>
    <t>giấm</t>
  </si>
  <si>
    <t>Tác dụng của ngâm giấm trong sơ chế dược liệu</t>
  </si>
  <si>
    <t>nước gạo</t>
  </si>
  <si>
    <t>Cách ngâm nước gạo khử độc dược liệu</t>
  </si>
  <si>
    <t>kỹ thuật ủ/lên men</t>
  </si>
  <si>
    <t>Kỹ thuật ủ và lên men dược liệu đúng chuẩn</t>
  </si>
  <si>
    <t>Bảo quản</t>
  </si>
  <si>
    <t>phương pháp bảo quản dược liệu</t>
  </si>
  <si>
    <t>Các phương pháp bảo quản dược liệu không lo mốc mọt</t>
  </si>
  <si>
    <t>6. Tiêu chuẩn &amp; Chứng nhận</t>
  </si>
  <si>
    <t>Tiêu chuẩn trồng trọt</t>
  </si>
  <si>
    <t>Tiêu chuẩn trồng</t>
  </si>
  <si>
    <t>Các tiêu chuẩn trồng cây dược liệu hiện nay</t>
  </si>
  <si>
    <t>chứng nhận</t>
  </si>
  <si>
    <t>Quy trình cấp chứng nhận tiêu chuẩn dược liệu</t>
  </si>
  <si>
    <t>Tiêu chuẩn Việt Nam</t>
  </si>
  <si>
    <t>Việt Nam</t>
  </si>
  <si>
    <t>Các tiêu chuẩn dược liệu tại Việt Nam</t>
  </si>
  <si>
    <t>vietgap</t>
  </si>
  <si>
    <t>Tiêu chuẩn VietGAP trong trồng cây dược liệu</t>
  </si>
  <si>
    <t>Tiêu chuẩn Quốc tế</t>
  </si>
  <si>
    <t>quốc tế</t>
  </si>
  <si>
    <t>Tổng hợp các tiêu chuẩn dược liệu quốc tế</t>
  </si>
  <si>
    <t>gacp who</t>
  </si>
  <si>
    <t>Tiêu chuẩn GACP-WHO trong trồng và thu hái dược liệu</t>
  </si>
  <si>
    <t>global gap</t>
  </si>
  <si>
    <t>Tiêu chuẩn GlobalGAP áp dụng cho dược liệu</t>
  </si>
  <si>
    <t>EU Organic</t>
  </si>
  <si>
    <t>Tiêu chuẩn hữu cơ EU Organic cho dược liệu xuất khẩu</t>
  </si>
  <si>
    <t>USDA Organic</t>
  </si>
  <si>
    <t>Chứng nhận USDA Organic cho cây dược liệu</t>
  </si>
  <si>
    <t>JAS Organic</t>
  </si>
  <si>
    <t>Tiêu chuẩn hữu cơ JAS Organic của Nhật Bản</t>
  </si>
  <si>
    <t>7. Ứng dụng &amp; Chữa bệnh</t>
  </si>
  <si>
    <t>Theo hệ cơ quan</t>
  </si>
  <si>
    <t>theo loại bệnh</t>
  </si>
  <si>
    <t>Phân loại dược liệu theo nhóm bệnh</t>
  </si>
  <si>
    <t>Hệ vận động &amp; Bệnh cơ xương khớp</t>
  </si>
  <si>
    <t>Các cây dược liệu chữa bệnh cơ xương khớp</t>
  </si>
  <si>
    <t>Hệ thần kinh &amp; Cảm giác</t>
  </si>
  <si>
    <t>Dược liệu hỗ trợ điều trị bệnh hệ thần kinh</t>
  </si>
  <si>
    <t>Hệ tiêu hóa &amp; Gan mật</t>
  </si>
  <si>
    <t>Dược liệu bổ gan mật và hỗ trợ tiêu hóa</t>
  </si>
  <si>
    <t>Hệ tuần hoàn, Tim mạch &amp; Mạch máu</t>
  </si>
  <si>
    <t>Cây dược liệu tốt cho hệ tim mạch và tuần hoàn</t>
  </si>
  <si>
    <t>Hệ tiết niệu</t>
  </si>
  <si>
    <t>Dược liệu điều trị các bệnh hệ tiết niệu</t>
  </si>
  <si>
    <t>Hệ hô hấp</t>
  </si>
  <si>
    <t>Bài thuốc dược liệu chữa bệnh đường hô hấp</t>
  </si>
  <si>
    <t>Theo đối tượng</t>
  </si>
  <si>
    <t>theo đối tượng</t>
  </si>
  <si>
    <t>Sử dụng dược liệu theo từng đối tượng</t>
  </si>
  <si>
    <t>bà bầu</t>
  </si>
  <si>
    <t>Lưu ý sử dụng dược liệu an toàn cho bà bầu</t>
  </si>
  <si>
    <t>người già</t>
  </si>
  <si>
    <t>Các loại dược liệu bồi bổ cho người già</t>
  </si>
  <si>
    <t>Phương pháp chữa bệnh</t>
  </si>
  <si>
    <t>Loại bệnh</t>
  </si>
  <si>
    <t>Tổng hợp các loại bệnh điều trị bằng đông y</t>
  </si>
  <si>
    <t>Cách chữa bệnh</t>
  </si>
  <si>
    <t>Cách chữa bệnh bằng các bài thuốc dân gian</t>
  </si>
  <si>
    <t>Bài thuốc đông y</t>
  </si>
  <si>
    <t>Tổng hợp các bài thuốc đông y cổ truyền hiệu quả</t>
  </si>
  <si>
    <t>8. Dịch vụ &amp; Thương hiệu</t>
  </si>
  <si>
    <t>TỔNG QUAN TỶ LỆ TỪ KHÓA THEO CỤM CHỦ ĐỀ (PILLAR)</t>
  </si>
  <si>
    <t>STT</t>
  </si>
  <si>
    <t>Nhóm chủ đề chính (Pillar)</t>
  </si>
  <si>
    <t>Số lượng từ khóa</t>
  </si>
  <si>
    <t>Tỷ lệ (%)</t>
  </si>
  <si>
    <t>Tổng cộng</t>
  </si>
  <si>
    <t>Cluster ID</t>
  </si>
  <si>
    <t>Trạng thái</t>
  </si>
  <si>
    <t>Bài hiện có (slug)</t>
  </si>
  <si>
    <t>Category Wiki đề xuất</t>
  </si>
  <si>
    <t>C01</t>
  </si>
  <si>
    <t>Kiến thức cơ bản (category mới)</t>
  </si>
  <si>
    <t>C02</t>
  </si>
  <si>
    <t>C03</t>
  </si>
  <si>
    <t>cach-uom-hat-giong; cach-u-hat-giong</t>
  </si>
  <si>
    <t>Kỹ thuật gieo trồng</t>
  </si>
  <si>
    <t>C04</t>
  </si>
  <si>
    <t>cach-giam-canh</t>
  </si>
  <si>
    <t>C05</t>
  </si>
  <si>
    <t>C06</t>
  </si>
  <si>
    <t>C07</t>
  </si>
  <si>
    <t>C08</t>
  </si>
  <si>
    <t>gia-the-la-gi; cach-tron-dat-trong-cay</t>
  </si>
  <si>
    <t>C09</t>
  </si>
  <si>
    <t>Đã có bài</t>
  </si>
  <si>
    <t>cach-bon-lot-bon-thuc</t>
  </si>
  <si>
    <t>C10</t>
  </si>
  <si>
    <t>C11</t>
  </si>
  <si>
    <t>cach-diet-co-dai</t>
  </si>
  <si>
    <t>Phòng trừ sâu bệnh</t>
  </si>
  <si>
    <t>C12</t>
  </si>
  <si>
    <t>C13</t>
  </si>
  <si>
    <t>benh-dom-la</t>
  </si>
  <si>
    <t>C14</t>
  </si>
  <si>
    <t>benh-than-thu</t>
  </si>
  <si>
    <t>C15</t>
  </si>
  <si>
    <t>C16</t>
  </si>
  <si>
    <t>benh-moc-suong</t>
  </si>
  <si>
    <t>C17</t>
  </si>
  <si>
    <t>C18</t>
  </si>
  <si>
    <t>benh-phan-trang</t>
  </si>
  <si>
    <t>C19</t>
  </si>
  <si>
    <t>C20</t>
  </si>
  <si>
    <t>benh-ri-sat</t>
  </si>
  <si>
    <t>C21</t>
  </si>
  <si>
    <t>benh-nut-than-xi-mu</t>
  </si>
  <si>
    <t>C22</t>
  </si>
  <si>
    <t>benh-lo-co-re-thoi-re</t>
  </si>
  <si>
    <t>C23</t>
  </si>
  <si>
    <t>C24</t>
  </si>
  <si>
    <t>Chế biến sau thu hoạch</t>
  </si>
  <si>
    <t>C25</t>
  </si>
  <si>
    <t>ky-thuat-say-duoc-lieu</t>
  </si>
  <si>
    <t>C26</t>
  </si>
  <si>
    <t>C27</t>
  </si>
  <si>
    <t>C28</t>
  </si>
  <si>
    <t>C29</t>
  </si>
  <si>
    <t>C30</t>
  </si>
  <si>
    <t>Tiêu chuẩn &amp; kiểm định</t>
  </si>
  <si>
    <t>C31</t>
  </si>
  <si>
    <t>tieu-chuan-gacp</t>
  </si>
  <si>
    <t>C32</t>
  </si>
  <si>
    <t>C33</t>
  </si>
  <si>
    <t>Công dụng &amp; Bài thuốc (category mới)</t>
  </si>
  <si>
    <t>C34</t>
  </si>
  <si>
    <t>C35</t>
  </si>
  <si>
    <t>C36</t>
  </si>
  <si>
    <t>C37</t>
  </si>
  <si>
    <t>C38</t>
  </si>
  <si>
    <t>C39</t>
  </si>
  <si>
    <t>C40</t>
  </si>
  <si>
    <t>C41</t>
  </si>
  <si>
    <t>Tên bài đề xuất</t>
  </si>
  <si>
    <t>Pillar</t>
  </si>
  <si>
    <t>Category</t>
  </si>
  <si>
    <t>Slug đề xuất</t>
  </si>
  <si>
    <t>Loại thao tác</t>
  </si>
  <si>
    <t>Từ khóa gộp</t>
  </si>
  <si>
    <t>Ưu tiên</t>
  </si>
  <si>
    <t>Thứ tự xuất bản gợi ý</t>
  </si>
  <si>
    <t>Nhân giống hữu tính: khái niệm &amp; kỹ thuật xử lý hạt giống (ngâm, ủ, vật lý, hóa học)</t>
  </si>
  <si>
    <t>hữu tính (nhân giống bằng hạt); Tạo ra cá thể mới thông qua quá trình hình thành và kết hợp giữa giao tử đực và giao tử cái (sự thụ phấn và thụ tinh); xử lý hạt giống; ngâm; ủ; vật lý; hóa học</t>
  </si>
  <si>
    <t>Nhân giống vô tính: chiết cành, giâm cành, ghép cành</t>
  </si>
  <si>
    <t>vô tính; Tạo ra cá thể mới từ một phần cơ quan dinh dưỡng (rễ, thân, lá) hoặc tế bào; chiết cành; giâm cành; ghép cành</t>
  </si>
  <si>
    <t>Nuôi cấy mô tế bào cây dược liệu</t>
  </si>
  <si>
    <t>nuoi-cay-mo-te-bao</t>
  </si>
  <si>
    <t>Kỹ thuật trồng &amp; chăm sóc cây dược liệu (tổng quan / pillar page)</t>
  </si>
  <si>
    <t>ky-thuat-trong-cay-duoc-lieu</t>
  </si>
  <si>
    <t>Đất trồng dược liệu: phân loại đất, pH, độ tơi xốp, kim loại nặng</t>
  </si>
  <si>
    <t>dat-trong-cay-duoc-lieu</t>
  </si>
  <si>
    <t>đất trồng; phân loại đất trồng; đất thịt; Đất phù sa; đất sét; đất cát; chỉ số về đất trồng; độ PH của đát; Độ tơi xốp của đất; kim loại nặng trong đất</t>
  </si>
  <si>
    <t>Giá thể &amp; phối trộn đất trồng (tỷ lệ, vỏ trấu, xơ dừa)</t>
  </si>
  <si>
    <t>giá thể; phối trộn đất trồng cây; tỷ lệ trộn đất trồng; trộn vỏ trấu vào đất; trộn xơ dừa với đất</t>
  </si>
  <si>
    <t>Bón lót, bón thúc cho cây dược liệu</t>
  </si>
  <si>
    <t>bón phân; phương pháp; bón lót; bón thúc; phân loại</t>
  </si>
  <si>
    <t>Phân bón cho cây dược liệu: hữu cơ, trùn quế, vô cơ, NPK</t>
  </si>
  <si>
    <t>phan-bon-cho-cay-duoc-lieu</t>
  </si>
  <si>
    <t>bón hữu cơ; trùn quế; bón vô cơ; phân npk</t>
  </si>
  <si>
    <t>Cách diệt cỏ dại cho vườn dược liệu (kể cả bằng muối)</t>
  </si>
  <si>
    <t>diệt cỏ; cách diệt cỏ dại; diệt cỏ bằng muối</t>
  </si>
  <si>
    <t>Tổng quan sâu bệnh hại cây dược liệu (pillar page)</t>
  </si>
  <si>
    <t>sau-benh-hai-cay-duoc-lieu</t>
  </si>
  <si>
    <t>sâu bệnh; bệnh hại lá</t>
  </si>
  <si>
    <t>Bệnh đốm lá</t>
  </si>
  <si>
    <t>Bệnh thán thư</t>
  </si>
  <si>
    <t>Bệnh héo xanh &amp; héo vàng</t>
  </si>
  <si>
    <t>benh-heo-xanh-heo-vang</t>
  </si>
  <si>
    <t>bệnh héo xanh; bệnh héo vàng</t>
  </si>
  <si>
    <t>Bệnh phấn trắng</t>
  </si>
  <si>
    <t>Bệnh rỉ sắt</t>
  </si>
  <si>
    <t>Bệnh hại thân &amp; nứt thân xì mủ</t>
  </si>
  <si>
    <t>bệnh hại thân; bệnh nứt thân xì mủ</t>
  </si>
  <si>
    <t>Bệnh lở cổ rễ, thối rễ, thối củ</t>
  </si>
  <si>
    <t>bệnh lở cổ rễ; bệnh thối củ; bệnh thối rễ</t>
  </si>
  <si>
    <t>Tuyến trùng rễ hại cây dược liệu</t>
  </si>
  <si>
    <t>tuyen-trung-re</t>
  </si>
  <si>
    <t>Kỹ thuật sơ chế dược liệu: tổng quan (khô/ướt, pillar page)</t>
  </si>
  <si>
    <t>ky-thuat-so-che-duoc-lieu</t>
  </si>
  <si>
    <t>kỹ thuật sơ chế dược liệu; phương pháp sơ chế; khô; phương pháp làm khô; ướt; ngâm</t>
  </si>
  <si>
    <t>Phơi âm can, phơi nắng &amp; sấy nhiệt dược liệu</t>
  </si>
  <si>
    <t>phơi âm can (phơi trong bóng râm); phơi nắng trực tiếp; sấy nhiệt</t>
  </si>
  <si>
    <t>Sao vàng hạ thổ dược liệu</t>
  </si>
  <si>
    <t>sao-vang-ha-tho</t>
  </si>
  <si>
    <t>Ngâm sơ chế dược liệu: rượu, giấm, nước gạo</t>
  </si>
  <si>
    <t>ngam-so-che-duoc-lieu</t>
  </si>
  <si>
    <t>rượu; giấm; nước gạo</t>
  </si>
  <si>
    <t>Kỹ thuật ủ và lên men dược liệu</t>
  </si>
  <si>
    <t>ky-thuat-u-len-men</t>
  </si>
  <si>
    <t>Phương pháp bảo quản dược liệu không lo mốc mọt</t>
  </si>
  <si>
    <t>bao-quan-duoc-lieu</t>
  </si>
  <si>
    <t>Tiêu chuẩn &amp; chứng nhận VietGAP cho dược liệu</t>
  </si>
  <si>
    <t>tieu-chuan-vietgap</t>
  </si>
  <si>
    <t>Tiêu chuẩn trồng; chứng nhận; Việt Nam; vietgap</t>
  </si>
  <si>
    <t>Tiêu chuẩn GACP-WHO</t>
  </si>
  <si>
    <t>quốc tế; gacp who</t>
  </si>
  <si>
    <t>Tiêu chuẩn hữu cơ quốc tế: GlobalGAP, EU Organic, USDA Organic, JAS Organic</t>
  </si>
  <si>
    <t>tieu-chuan-huu-co-quoc-te</t>
  </si>
  <si>
    <t>global gap; EU Organic; USDA Organic; JAS Organic</t>
  </si>
  <si>
    <t>Dược liệu chữa bệnh xương khớp</t>
  </si>
  <si>
    <t>Dược liệu tốt cho hệ thần kinh</t>
  </si>
  <si>
    <t>Dược liệu bổ gan, hỗ trợ tiêu hóa</t>
  </si>
  <si>
    <t>Dược liệu tốt cho tim mạch</t>
  </si>
  <si>
    <t>Dược liệu điều trị bệnh tiết niệu</t>
  </si>
  <si>
    <t>Dược liệu chữa bệnh hô hấp</t>
  </si>
  <si>
    <t>Dùng dược liệu an toàn cho bà bầu &amp; người già</t>
  </si>
  <si>
    <t>theo đối tượng; bà bầu; người già</t>
  </si>
  <si>
    <t>Bài thuốc đông y cổ truyền hiệu quả (tổng hợp)</t>
  </si>
  <si>
    <t>Loại bệnh; Cách chữa bệnh; Bài thuốc đông y</t>
  </si>
  <si>
    <t>Cây dược liệu là gì? Khái niệm &amp; phân loại giống cây</t>
  </si>
  <si>
    <t>cay-duoc-lieu-la-gi</t>
  </si>
  <si>
    <t>Định nghĩa/wiki; cây dược liệu; cây giá trị cao</t>
  </si>
  <si>
    <t>Phân loại giống cây dược liệu theo bộ phận, tên cây &amp; vùng miền</t>
  </si>
  <si>
    <t>phan-loai-giong-cay-duoc-lieu</t>
  </si>
  <si>
    <t>Giống cây dược liệu lấy củ; Giống cây dược liệu lấy lá/thân; theo cây; theo vùng/địa điểm</t>
  </si>
  <si>
    <t>Bệnh mốc sương</t>
  </si>
  <si>
    <t>Bệnh khảm lá</t>
  </si>
  <si>
    <t>benh-kham-la</t>
  </si>
  <si>
    <t>Bệnh mốc xám &amp; muội đen hại lá</t>
  </si>
  <si>
    <t>benh-moc-xam-muoi-den</t>
  </si>
  <si>
    <t>bệnh mốc xám; bệnh muội đen</t>
  </si>
  <si>
    <t>Dược liệu chữa bệnh theo hệ cơ quan (tổng quan / pillar page)</t>
  </si>
  <si>
    <t>Category site hiện có / đề xuất</t>
  </si>
  <si>
    <t>Ghi chú</t>
  </si>
  <si>
    <t>Chưa có category phù hợp trong site hiện tại, cần tạo mới trong content/wiki</t>
  </si>
  <si>
    <t>Kỹ thuật gieo trồng (đã có)</t>
  </si>
  <si>
    <t>Đã có 3 bài liên quan: cach-uom-hat-giong, cach-u-hat-giong, cach-giam-canh</t>
  </si>
  <si>
    <t>Đã có 3 bài liên quan: gia-the-la-gi, cach-tron-dat-trong-cay, cach-bon-lot-bon-thuc</t>
  </si>
  <si>
    <t>Phòng trừ sâu bệnh (đã có)</t>
  </si>
  <si>
    <t>Đã có 9 bài liên quan (7 benh-*.json + cach-diet-co-dai + cach-tri-rep-sap)</t>
  </si>
  <si>
    <t>Chế biến sau thu hoạch (đã có)</t>
  </si>
  <si>
    <t>Đã có 1 bài: ky-thuat-say-duoc-lieu</t>
  </si>
  <si>
    <t>Tiêu chuẩn &amp; kiểm định (đã có)</t>
  </si>
  <si>
    <t>Đã có 4 bài: tieu-chuan-gacp, tieu-chuan-gmp, kiem-dinh-duoc-lieu, phan-biet-cay-duoc-lieu-gia (gmp/kiểm định/phân biệt giả không map trực tiếp keyword nào trong file, giữ nguyên)</t>
  </si>
  <si>
    <t>(không có dòng dữ liệu thực tế trong sheet)</t>
  </si>
  <si>
    <t>Chỉ xuất hiện trong Mindmap Summary (2 từ khóa), không có row nào trong Keyword Mapping — bỏ qua trong bản kế hoạch này</t>
  </si>
  <si>
    <t>THỐNG KÊ TRẠNG THÁI CLUSTER BÀI VIẾT (dựa trên gộp 104 từ khóa thành 41 cluster)</t>
  </si>
  <si>
    <t>Số cluster</t>
  </si>
  <si>
    <t>Đã bổ sung xong</t>
  </si>
  <si>
    <t>Đã viết xong</t>
  </si>
  <si>
    <t>Đã viết - hoãn xuất bản (chờ EEAT)</t>
  </si>
  <si>
    <t>content/_drafts/wiki-yte/duoc-lieu-theo-he-co-quan</t>
  </si>
  <si>
    <t>content/_drafts/wiki-yte/duoc-lieu-chua-xuong-khop</t>
  </si>
  <si>
    <t>content/_drafts/wiki-yte/duoc-lieu-tot-cho-than-kinh</t>
  </si>
  <si>
    <t>content/_drafts/wiki-yte/duoc-lieu-bo-gan-tieu-hoa</t>
  </si>
  <si>
    <t>content/_drafts/wiki-yte/duoc-lieu-tot-cho-tim-mach</t>
  </si>
  <si>
    <t>content/_drafts/wiki-yte/duoc-lieu-chua-tiet-nieu</t>
  </si>
  <si>
    <t>content/_drafts/wiki-yte/duoc-lieu-chua-ho-hap</t>
  </si>
  <si>
    <t>content/_drafts/wiki-yte/duoc-lieu-cho-ba-bau-nguoi-gia</t>
  </si>
  <si>
    <t>content/_drafts/wiki-yte/bai-thuoc-dong-y-co-truyen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</si>
</sst>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1"/>
      <color rgb="FFFFFFFF"/>
      <name val="Segoe UI"/>
    </font>
    <font>
      <sz val="10"/>
      <name val="Segoe UI"/>
    </font>
    <font>
      <sz val="10"/>
      <color rgb="FF475569"/>
      <name val="Segoe UI"/>
    </font>
    <font>
      <b/>
      <sz val="10"/>
      <color rgb="FF92400E"/>
      <name val="Segoe UI"/>
    </font>
    <font>
      <b/>
      <sz val="10"/>
      <color rgb="FF991B1B"/>
      <name val="Segoe UI"/>
    </font>
    <font>
      <b/>
      <sz val="11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3B82F6"/>
        <bgColor rgb="FF3B82F6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/>
    <xf numFmtId="0" fontId="7" fillId="8" borderId="1" xfId="0" applyFont="1" applyFill="1" applyBorder="1" applyAlignment="1">
      <alignment horizontal="right" vertical="center"/>
    </xf>
    <xf numFmtId="164" fontId="7" fillId="8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E58F-975D-4416-8DBA-C48076EA5974}">
  <dimension ref="A1:C9"/>
  <sheetViews>
    <sheetView tabSelected="1" workbookViewId="0"/>
  </sheetViews>
  <sheetFormatPr defaultRowHeight="15" x14ac:dyDescent="0.25"/>
  <cols>
    <col min="1" max="1" width="28.42578125" bestFit="1" customWidth="1"/>
    <col min="2" max="2" width="40.140625" bestFit="1" customWidth="1"/>
    <col min="3" max="3" width="168.28515625" bestFit="1" customWidth="1"/>
  </cols>
  <sheetData>
    <row r="1" spans="1:3" x14ac:dyDescent="0.25">
      <c r="A1" t="s">
        <v>314</v>
      </c>
      <c r="B1" t="s">
        <v>402</v>
      </c>
      <c r="C1" t="s">
        <v>403</v>
      </c>
    </row>
    <row r="2" spans="1:3" x14ac:dyDescent="0.25">
      <c r="A2" t="s">
        <v>6</v>
      </c>
      <c r="B2" t="s">
        <v>252</v>
      </c>
      <c r="C2" t="s">
        <v>404</v>
      </c>
    </row>
    <row r="3" spans="1:3" x14ac:dyDescent="0.25">
      <c r="A3" t="s">
        <v>27</v>
      </c>
      <c r="B3" t="s">
        <v>405</v>
      </c>
      <c r="C3" t="s">
        <v>406</v>
      </c>
    </row>
    <row r="4" spans="1:3" x14ac:dyDescent="0.25">
      <c r="A4" t="s">
        <v>56</v>
      </c>
      <c r="B4" t="s">
        <v>405</v>
      </c>
      <c r="C4" t="s">
        <v>407</v>
      </c>
    </row>
    <row r="5" spans="1:3" x14ac:dyDescent="0.25">
      <c r="A5" t="s">
        <v>109</v>
      </c>
      <c r="B5" t="s">
        <v>408</v>
      </c>
      <c r="C5" t="s">
        <v>409</v>
      </c>
    </row>
    <row r="6" spans="1:3" x14ac:dyDescent="0.25">
      <c r="A6" t="s">
        <v>154</v>
      </c>
      <c r="B6" t="s">
        <v>410</v>
      </c>
      <c r="C6" t="s">
        <v>411</v>
      </c>
    </row>
    <row r="7" spans="1:3" x14ac:dyDescent="0.25">
      <c r="A7" t="s">
        <v>186</v>
      </c>
      <c r="B7" t="s">
        <v>412</v>
      </c>
      <c r="C7" t="s">
        <v>413</v>
      </c>
    </row>
    <row r="8" spans="1:3" x14ac:dyDescent="0.25">
      <c r="A8" t="s">
        <v>210</v>
      </c>
      <c r="B8" t="s">
        <v>304</v>
      </c>
      <c r="C8" t="s">
        <v>404</v>
      </c>
    </row>
    <row r="9" spans="1:3" x14ac:dyDescent="0.25">
      <c r="A9" t="s">
        <v>240</v>
      </c>
      <c r="B9" t="s">
        <v>414</v>
      </c>
      <c r="C9" t="s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3BC1-E43C-431C-9B25-B84BC567C22D}">
  <dimension ref="A1:I42"/>
  <sheetViews>
    <sheetView workbookViewId="0"/>
  </sheetViews>
  <sheetFormatPr defaultRowHeight="15" x14ac:dyDescent="0.25"/>
  <cols>
    <col min="1" max="1" width="9.5703125" bestFit="1" customWidth="1"/>
    <col min="2" max="2" width="76" bestFit="1" customWidth="1"/>
    <col min="3" max="3" width="28.42578125" bestFit="1" customWidth="1"/>
    <col min="4" max="4" width="35" bestFit="1" customWidth="1"/>
    <col min="5" max="5" width="53.42578125" bestFit="1" customWidth="1"/>
    <col min="6" max="6" width="31.7109375" bestFit="1" customWidth="1"/>
    <col min="7" max="7" width="170.7109375" bestFit="1" customWidth="1"/>
    <col min="8" max="8" width="10.28515625" bestFit="1" customWidth="1"/>
    <col min="9" max="9" width="19.85546875" bestFit="1" customWidth="1"/>
  </cols>
  <sheetData>
    <row r="1" spans="1:9" x14ac:dyDescent="0.25">
      <c r="A1" t="s">
        <v>247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</row>
    <row r="2" spans="1:9" x14ac:dyDescent="0.25">
      <c r="A2" t="s">
        <v>254</v>
      </c>
      <c r="B2" t="s">
        <v>321</v>
      </c>
      <c r="C2" t="s">
        <v>27</v>
      </c>
      <c r="D2" t="s">
        <v>256</v>
      </c>
      <c r="E2" t="s">
        <v>255</v>
      </c>
      <c r="F2" t="s">
        <v>418</v>
      </c>
      <c r="G2" t="s">
        <v>322</v>
      </c>
      <c r="H2" t="s">
        <v>17</v>
      </c>
      <c r="I2">
        <v>1</v>
      </c>
    </row>
    <row r="3" spans="1:9" x14ac:dyDescent="0.25">
      <c r="A3" t="s">
        <v>257</v>
      </c>
      <c r="B3" t="s">
        <v>323</v>
      </c>
      <c r="C3" t="s">
        <v>27</v>
      </c>
      <c r="D3" t="s">
        <v>256</v>
      </c>
      <c r="E3" t="s">
        <v>258</v>
      </c>
      <c r="F3" t="s">
        <v>418</v>
      </c>
      <c r="G3" t="s">
        <v>324</v>
      </c>
      <c r="H3" t="s">
        <v>17</v>
      </c>
      <c r="I3">
        <v>2</v>
      </c>
    </row>
    <row r="4" spans="1:9" x14ac:dyDescent="0.25">
      <c r="A4" t="s">
        <v>259</v>
      </c>
      <c r="B4" t="s">
        <v>325</v>
      </c>
      <c r="C4" t="s">
        <v>27</v>
      </c>
      <c r="D4" t="s">
        <v>256</v>
      </c>
      <c r="E4" t="s">
        <v>326</v>
      </c>
      <c r="F4" t="s">
        <v>419</v>
      </c>
      <c r="G4" t="s">
        <v>54</v>
      </c>
      <c r="H4" t="s">
        <v>17</v>
      </c>
      <c r="I4">
        <v>3</v>
      </c>
    </row>
    <row r="5" spans="1:9" x14ac:dyDescent="0.25">
      <c r="A5" t="s">
        <v>260</v>
      </c>
      <c r="B5" t="s">
        <v>327</v>
      </c>
      <c r="C5" t="s">
        <v>56</v>
      </c>
      <c r="D5" t="s">
        <v>256</v>
      </c>
      <c r="E5" t="s">
        <v>328</v>
      </c>
      <c r="F5" t="s">
        <v>419</v>
      </c>
      <c r="G5" t="s">
        <v>58</v>
      </c>
      <c r="H5" t="s">
        <v>17</v>
      </c>
      <c r="I5">
        <v>4</v>
      </c>
    </row>
    <row r="6" spans="1:9" x14ac:dyDescent="0.25">
      <c r="A6" t="s">
        <v>261</v>
      </c>
      <c r="B6" t="s">
        <v>329</v>
      </c>
      <c r="C6" t="s">
        <v>56</v>
      </c>
      <c r="D6" t="s">
        <v>256</v>
      </c>
      <c r="E6" t="s">
        <v>330</v>
      </c>
      <c r="F6" t="s">
        <v>419</v>
      </c>
      <c r="G6" t="s">
        <v>331</v>
      </c>
      <c r="H6" t="s">
        <v>17</v>
      </c>
      <c r="I6">
        <v>5</v>
      </c>
    </row>
    <row r="7" spans="1:9" x14ac:dyDescent="0.25">
      <c r="A7" t="s">
        <v>262</v>
      </c>
      <c r="B7" t="s">
        <v>332</v>
      </c>
      <c r="C7" t="s">
        <v>56</v>
      </c>
      <c r="D7" t="s">
        <v>256</v>
      </c>
      <c r="E7" t="s">
        <v>263</v>
      </c>
      <c r="F7" t="s">
        <v>265</v>
      </c>
      <c r="G7" t="s">
        <v>333</v>
      </c>
      <c r="H7" t="s">
        <v>17</v>
      </c>
      <c r="I7">
        <v>6</v>
      </c>
    </row>
    <row r="8" spans="1:9" x14ac:dyDescent="0.25">
      <c r="A8" t="s">
        <v>264</v>
      </c>
      <c r="B8" t="s">
        <v>334</v>
      </c>
      <c r="C8" t="s">
        <v>56</v>
      </c>
      <c r="D8" t="s">
        <v>256</v>
      </c>
      <c r="E8" t="s">
        <v>266</v>
      </c>
      <c r="F8" t="s">
        <v>265</v>
      </c>
      <c r="G8" t="s">
        <v>335</v>
      </c>
      <c r="H8" t="s">
        <v>17</v>
      </c>
      <c r="I8">
        <v>7</v>
      </c>
    </row>
    <row r="9" spans="1:9" x14ac:dyDescent="0.25">
      <c r="A9" t="s">
        <v>267</v>
      </c>
      <c r="B9" t="s">
        <v>336</v>
      </c>
      <c r="C9" t="s">
        <v>56</v>
      </c>
      <c r="D9" t="s">
        <v>256</v>
      </c>
      <c r="E9" t="s">
        <v>337</v>
      </c>
      <c r="F9" t="s">
        <v>419</v>
      </c>
      <c r="G9" t="s">
        <v>338</v>
      </c>
      <c r="H9" t="s">
        <v>17</v>
      </c>
      <c r="I9">
        <v>8</v>
      </c>
    </row>
    <row r="10" spans="1:9" x14ac:dyDescent="0.25">
      <c r="A10" t="s">
        <v>268</v>
      </c>
      <c r="B10" t="s">
        <v>339</v>
      </c>
      <c r="C10" t="s">
        <v>109</v>
      </c>
      <c r="D10" t="s">
        <v>270</v>
      </c>
      <c r="E10" t="s">
        <v>269</v>
      </c>
      <c r="F10" t="s">
        <v>265</v>
      </c>
      <c r="G10" t="s">
        <v>340</v>
      </c>
      <c r="H10" t="s">
        <v>17</v>
      </c>
      <c r="I10">
        <v>9</v>
      </c>
    </row>
    <row r="11" spans="1:9" x14ac:dyDescent="0.25">
      <c r="A11" t="s">
        <v>271</v>
      </c>
      <c r="B11" t="s">
        <v>341</v>
      </c>
      <c r="C11" t="s">
        <v>109</v>
      </c>
      <c r="D11" t="s">
        <v>270</v>
      </c>
      <c r="E11" t="s">
        <v>342</v>
      </c>
      <c r="F11" t="s">
        <v>419</v>
      </c>
      <c r="G11" t="s">
        <v>343</v>
      </c>
      <c r="H11" t="s">
        <v>17</v>
      </c>
      <c r="I11">
        <v>10</v>
      </c>
    </row>
    <row r="12" spans="1:9" x14ac:dyDescent="0.25">
      <c r="A12" t="s">
        <v>272</v>
      </c>
      <c r="B12" t="s">
        <v>344</v>
      </c>
      <c r="C12" t="s">
        <v>109</v>
      </c>
      <c r="D12" t="s">
        <v>270</v>
      </c>
      <c r="E12" t="s">
        <v>273</v>
      </c>
      <c r="F12" t="s">
        <v>265</v>
      </c>
      <c r="G12" t="s">
        <v>122</v>
      </c>
      <c r="H12" t="s">
        <v>17</v>
      </c>
      <c r="I12">
        <v>11</v>
      </c>
    </row>
    <row r="13" spans="1:9" x14ac:dyDescent="0.25">
      <c r="A13" t="s">
        <v>274</v>
      </c>
      <c r="B13" t="s">
        <v>345</v>
      </c>
      <c r="C13" t="s">
        <v>109</v>
      </c>
      <c r="D13" t="s">
        <v>270</v>
      </c>
      <c r="E13" t="s">
        <v>275</v>
      </c>
      <c r="F13" t="s">
        <v>265</v>
      </c>
      <c r="G13" t="s">
        <v>124</v>
      </c>
      <c r="H13" t="s">
        <v>17</v>
      </c>
      <c r="I13">
        <v>12</v>
      </c>
    </row>
    <row r="14" spans="1:9" x14ac:dyDescent="0.25">
      <c r="A14" t="s">
        <v>276</v>
      </c>
      <c r="B14" t="s">
        <v>346</v>
      </c>
      <c r="C14" t="s">
        <v>109</v>
      </c>
      <c r="D14" t="s">
        <v>270</v>
      </c>
      <c r="E14" t="s">
        <v>347</v>
      </c>
      <c r="F14" t="s">
        <v>419</v>
      </c>
      <c r="G14" t="s">
        <v>348</v>
      </c>
      <c r="H14" t="s">
        <v>17</v>
      </c>
      <c r="I14">
        <v>13</v>
      </c>
    </row>
    <row r="15" spans="1:9" x14ac:dyDescent="0.25">
      <c r="A15" t="s">
        <v>280</v>
      </c>
      <c r="B15" t="s">
        <v>349</v>
      </c>
      <c r="C15" t="s">
        <v>109</v>
      </c>
      <c r="D15" t="s">
        <v>270</v>
      </c>
      <c r="E15" t="s">
        <v>281</v>
      </c>
      <c r="F15" t="s">
        <v>265</v>
      </c>
      <c r="G15" t="s">
        <v>134</v>
      </c>
      <c r="H15" t="s">
        <v>17</v>
      </c>
      <c r="I15">
        <v>14</v>
      </c>
    </row>
    <row r="16" spans="1:9" x14ac:dyDescent="0.25">
      <c r="A16" t="s">
        <v>283</v>
      </c>
      <c r="B16" t="s">
        <v>350</v>
      </c>
      <c r="C16" t="s">
        <v>109</v>
      </c>
      <c r="D16" t="s">
        <v>270</v>
      </c>
      <c r="E16" t="s">
        <v>284</v>
      </c>
      <c r="F16" t="s">
        <v>265</v>
      </c>
      <c r="G16" t="s">
        <v>138</v>
      </c>
      <c r="H16" t="s">
        <v>17</v>
      </c>
      <c r="I16">
        <v>15</v>
      </c>
    </row>
    <row r="17" spans="1:9" x14ac:dyDescent="0.25">
      <c r="A17" t="s">
        <v>285</v>
      </c>
      <c r="B17" t="s">
        <v>351</v>
      </c>
      <c r="C17" t="s">
        <v>109</v>
      </c>
      <c r="D17" t="s">
        <v>270</v>
      </c>
      <c r="E17" t="s">
        <v>286</v>
      </c>
      <c r="F17" t="s">
        <v>418</v>
      </c>
      <c r="G17" t="s">
        <v>352</v>
      </c>
      <c r="H17" t="s">
        <v>17</v>
      </c>
      <c r="I17">
        <v>16</v>
      </c>
    </row>
    <row r="18" spans="1:9" x14ac:dyDescent="0.25">
      <c r="A18" t="s">
        <v>287</v>
      </c>
      <c r="B18" t="s">
        <v>353</v>
      </c>
      <c r="C18" t="s">
        <v>109</v>
      </c>
      <c r="D18" t="s">
        <v>270</v>
      </c>
      <c r="E18" t="s">
        <v>288</v>
      </c>
      <c r="F18" t="s">
        <v>418</v>
      </c>
      <c r="G18" t="s">
        <v>354</v>
      </c>
      <c r="H18" t="s">
        <v>17</v>
      </c>
      <c r="I18">
        <v>17</v>
      </c>
    </row>
    <row r="19" spans="1:9" x14ac:dyDescent="0.25">
      <c r="A19" t="s">
        <v>289</v>
      </c>
      <c r="B19" t="s">
        <v>355</v>
      </c>
      <c r="C19" t="s">
        <v>109</v>
      </c>
      <c r="D19" t="s">
        <v>270</v>
      </c>
      <c r="E19" t="s">
        <v>356</v>
      </c>
      <c r="F19" t="s">
        <v>419</v>
      </c>
      <c r="G19" t="s">
        <v>152</v>
      </c>
      <c r="H19" t="s">
        <v>17</v>
      </c>
      <c r="I19">
        <v>18</v>
      </c>
    </row>
    <row r="20" spans="1:9" x14ac:dyDescent="0.25">
      <c r="A20" t="s">
        <v>290</v>
      </c>
      <c r="B20" t="s">
        <v>357</v>
      </c>
      <c r="C20" t="s">
        <v>154</v>
      </c>
      <c r="D20" t="s">
        <v>291</v>
      </c>
      <c r="E20" t="s">
        <v>358</v>
      </c>
      <c r="F20" t="s">
        <v>419</v>
      </c>
      <c r="G20" t="s">
        <v>359</v>
      </c>
      <c r="H20" t="s">
        <v>17</v>
      </c>
      <c r="I20">
        <v>19</v>
      </c>
    </row>
    <row r="21" spans="1:9" x14ac:dyDescent="0.25">
      <c r="A21" t="s">
        <v>292</v>
      </c>
      <c r="B21" t="s">
        <v>360</v>
      </c>
      <c r="C21" t="s">
        <v>154</v>
      </c>
      <c r="D21" t="s">
        <v>291</v>
      </c>
      <c r="E21" t="s">
        <v>293</v>
      </c>
      <c r="F21" t="s">
        <v>418</v>
      </c>
      <c r="G21" t="s">
        <v>361</v>
      </c>
      <c r="H21" t="s">
        <v>17</v>
      </c>
      <c r="I21">
        <v>20</v>
      </c>
    </row>
    <row r="22" spans="1:9" x14ac:dyDescent="0.25">
      <c r="A22" t="s">
        <v>294</v>
      </c>
      <c r="B22" t="s">
        <v>362</v>
      </c>
      <c r="C22" t="s">
        <v>154</v>
      </c>
      <c r="D22" t="s">
        <v>291</v>
      </c>
      <c r="E22" t="s">
        <v>363</v>
      </c>
      <c r="F22" t="s">
        <v>419</v>
      </c>
      <c r="G22" t="s">
        <v>170</v>
      </c>
      <c r="H22" t="s">
        <v>17</v>
      </c>
      <c r="I22">
        <v>21</v>
      </c>
    </row>
    <row r="23" spans="1:9" x14ac:dyDescent="0.25">
      <c r="A23" t="s">
        <v>295</v>
      </c>
      <c r="B23" t="s">
        <v>364</v>
      </c>
      <c r="C23" t="s">
        <v>154</v>
      </c>
      <c r="D23" t="s">
        <v>291</v>
      </c>
      <c r="E23" t="s">
        <v>365</v>
      </c>
      <c r="F23" t="s">
        <v>419</v>
      </c>
      <c r="G23" t="s">
        <v>366</v>
      </c>
      <c r="H23" t="s">
        <v>17</v>
      </c>
      <c r="I23">
        <v>22</v>
      </c>
    </row>
    <row r="24" spans="1:9" x14ac:dyDescent="0.25">
      <c r="A24" t="s">
        <v>296</v>
      </c>
      <c r="B24" t="s">
        <v>367</v>
      </c>
      <c r="C24" t="s">
        <v>154</v>
      </c>
      <c r="D24" t="s">
        <v>291</v>
      </c>
      <c r="E24" t="s">
        <v>368</v>
      </c>
      <c r="F24" t="s">
        <v>419</v>
      </c>
      <c r="G24" t="s">
        <v>181</v>
      </c>
      <c r="H24" t="s">
        <v>17</v>
      </c>
      <c r="I24">
        <v>23</v>
      </c>
    </row>
    <row r="25" spans="1:9" x14ac:dyDescent="0.25">
      <c r="A25" t="s">
        <v>297</v>
      </c>
      <c r="B25" t="s">
        <v>369</v>
      </c>
      <c r="C25" t="s">
        <v>154</v>
      </c>
      <c r="D25" t="s">
        <v>291</v>
      </c>
      <c r="E25" t="s">
        <v>370</v>
      </c>
      <c r="F25" t="s">
        <v>419</v>
      </c>
      <c r="G25" t="s">
        <v>184</v>
      </c>
      <c r="H25" t="s">
        <v>17</v>
      </c>
      <c r="I25">
        <v>24</v>
      </c>
    </row>
    <row r="26" spans="1:9" x14ac:dyDescent="0.25">
      <c r="A26" t="s">
        <v>298</v>
      </c>
      <c r="B26" t="s">
        <v>371</v>
      </c>
      <c r="C26" t="s">
        <v>186</v>
      </c>
      <c r="D26" t="s">
        <v>299</v>
      </c>
      <c r="E26" t="s">
        <v>372</v>
      </c>
      <c r="F26" t="s">
        <v>419</v>
      </c>
      <c r="G26" t="s">
        <v>373</v>
      </c>
      <c r="H26" t="s">
        <v>17</v>
      </c>
      <c r="I26">
        <v>25</v>
      </c>
    </row>
    <row r="27" spans="1:9" x14ac:dyDescent="0.25">
      <c r="A27" t="s">
        <v>300</v>
      </c>
      <c r="B27" t="s">
        <v>374</v>
      </c>
      <c r="C27" t="s">
        <v>186</v>
      </c>
      <c r="D27" t="s">
        <v>299</v>
      </c>
      <c r="E27" t="s">
        <v>301</v>
      </c>
      <c r="F27" t="s">
        <v>265</v>
      </c>
      <c r="G27" t="s">
        <v>375</v>
      </c>
      <c r="H27" t="s">
        <v>17</v>
      </c>
      <c r="I27">
        <v>26</v>
      </c>
    </row>
    <row r="28" spans="1:9" x14ac:dyDescent="0.25">
      <c r="A28" t="s">
        <v>302</v>
      </c>
      <c r="B28" t="s">
        <v>376</v>
      </c>
      <c r="C28" t="s">
        <v>186</v>
      </c>
      <c r="D28" t="s">
        <v>299</v>
      </c>
      <c r="E28" t="s">
        <v>377</v>
      </c>
      <c r="F28" t="s">
        <v>419</v>
      </c>
      <c r="G28" t="s">
        <v>378</v>
      </c>
      <c r="H28" t="s">
        <v>17</v>
      </c>
      <c r="I28">
        <v>27</v>
      </c>
    </row>
    <row r="29" spans="1:9" x14ac:dyDescent="0.25">
      <c r="A29" t="s">
        <v>305</v>
      </c>
      <c r="B29" t="s">
        <v>379</v>
      </c>
      <c r="C29" t="s">
        <v>210</v>
      </c>
      <c r="D29" t="s">
        <v>304</v>
      </c>
      <c r="E29" t="s">
        <v>422</v>
      </c>
      <c r="F29" t="s">
        <v>420</v>
      </c>
      <c r="G29" t="s">
        <v>214</v>
      </c>
      <c r="H29" t="s">
        <v>17</v>
      </c>
      <c r="I29">
        <v>28</v>
      </c>
    </row>
    <row r="30" spans="1:9" x14ac:dyDescent="0.25">
      <c r="A30" t="s">
        <v>306</v>
      </c>
      <c r="B30" t="s">
        <v>380</v>
      </c>
      <c r="C30" t="s">
        <v>210</v>
      </c>
      <c r="D30" t="s">
        <v>304</v>
      </c>
      <c r="E30" t="s">
        <v>423</v>
      </c>
      <c r="F30" t="s">
        <v>420</v>
      </c>
      <c r="G30" t="s">
        <v>216</v>
      </c>
      <c r="H30" t="s">
        <v>17</v>
      </c>
      <c r="I30">
        <v>29</v>
      </c>
    </row>
    <row r="31" spans="1:9" x14ac:dyDescent="0.25">
      <c r="A31" t="s">
        <v>307</v>
      </c>
      <c r="B31" t="s">
        <v>381</v>
      </c>
      <c r="C31" t="s">
        <v>210</v>
      </c>
      <c r="D31" t="s">
        <v>304</v>
      </c>
      <c r="E31" t="s">
        <v>424</v>
      </c>
      <c r="F31" t="s">
        <v>420</v>
      </c>
      <c r="G31" t="s">
        <v>218</v>
      </c>
      <c r="H31" t="s">
        <v>17</v>
      </c>
      <c r="I31">
        <v>30</v>
      </c>
    </row>
    <row r="32" spans="1:9" x14ac:dyDescent="0.25">
      <c r="A32" t="s">
        <v>308</v>
      </c>
      <c r="B32" t="s">
        <v>382</v>
      </c>
      <c r="C32" t="s">
        <v>210</v>
      </c>
      <c r="D32" t="s">
        <v>304</v>
      </c>
      <c r="E32" t="s">
        <v>425</v>
      </c>
      <c r="F32" t="s">
        <v>420</v>
      </c>
      <c r="G32" t="s">
        <v>220</v>
      </c>
      <c r="H32" t="s">
        <v>17</v>
      </c>
      <c r="I32">
        <v>31</v>
      </c>
    </row>
    <row r="33" spans="1:9" x14ac:dyDescent="0.25">
      <c r="A33" t="s">
        <v>309</v>
      </c>
      <c r="B33" t="s">
        <v>383</v>
      </c>
      <c r="C33" t="s">
        <v>210</v>
      </c>
      <c r="D33" t="s">
        <v>304</v>
      </c>
      <c r="E33" t="s">
        <v>426</v>
      </c>
      <c r="F33" t="s">
        <v>420</v>
      </c>
      <c r="G33" t="s">
        <v>222</v>
      </c>
      <c r="H33" t="s">
        <v>17</v>
      </c>
      <c r="I33">
        <v>32</v>
      </c>
    </row>
    <row r="34" spans="1:9" x14ac:dyDescent="0.25">
      <c r="A34" t="s">
        <v>310</v>
      </c>
      <c r="B34" t="s">
        <v>384</v>
      </c>
      <c r="C34" t="s">
        <v>210</v>
      </c>
      <c r="D34" t="s">
        <v>304</v>
      </c>
      <c r="E34" t="s">
        <v>427</v>
      </c>
      <c r="F34" t="s">
        <v>420</v>
      </c>
      <c r="G34" t="s">
        <v>224</v>
      </c>
      <c r="H34" t="s">
        <v>17</v>
      </c>
      <c r="I34">
        <v>33</v>
      </c>
    </row>
    <row r="35" spans="1:9" x14ac:dyDescent="0.25">
      <c r="A35" t="s">
        <v>311</v>
      </c>
      <c r="B35" t="s">
        <v>385</v>
      </c>
      <c r="C35" t="s">
        <v>210</v>
      </c>
      <c r="D35" t="s">
        <v>304</v>
      </c>
      <c r="E35" t="s">
        <v>428</v>
      </c>
      <c r="F35" t="s">
        <v>420</v>
      </c>
      <c r="G35" t="s">
        <v>386</v>
      </c>
      <c r="H35" t="s">
        <v>17</v>
      </c>
      <c r="I35">
        <v>34</v>
      </c>
    </row>
    <row r="36" spans="1:9" x14ac:dyDescent="0.25">
      <c r="A36" t="s">
        <v>312</v>
      </c>
      <c r="B36" t="s">
        <v>387</v>
      </c>
      <c r="C36" t="s">
        <v>210</v>
      </c>
      <c r="D36" t="s">
        <v>304</v>
      </c>
      <c r="E36" t="s">
        <v>429</v>
      </c>
      <c r="F36" t="s">
        <v>420</v>
      </c>
      <c r="G36" t="s">
        <v>388</v>
      </c>
      <c r="H36" t="s">
        <v>17</v>
      </c>
      <c r="I36">
        <v>35</v>
      </c>
    </row>
    <row r="37" spans="1:9" x14ac:dyDescent="0.25">
      <c r="A37" t="s">
        <v>251</v>
      </c>
      <c r="B37" t="s">
        <v>389</v>
      </c>
      <c r="C37" t="s">
        <v>6</v>
      </c>
      <c r="D37" t="s">
        <v>252</v>
      </c>
      <c r="E37" t="s">
        <v>390</v>
      </c>
      <c r="F37" t="s">
        <v>419</v>
      </c>
      <c r="G37" t="s">
        <v>391</v>
      </c>
      <c r="H37" t="s">
        <v>16</v>
      </c>
      <c r="I37">
        <v>36</v>
      </c>
    </row>
    <row r="38" spans="1:9" x14ac:dyDescent="0.25">
      <c r="A38" t="s">
        <v>253</v>
      </c>
      <c r="B38" t="s">
        <v>392</v>
      </c>
      <c r="C38" t="s">
        <v>6</v>
      </c>
      <c r="D38" t="s">
        <v>252</v>
      </c>
      <c r="E38" t="s">
        <v>393</v>
      </c>
      <c r="F38" t="s">
        <v>419</v>
      </c>
      <c r="G38" t="s">
        <v>394</v>
      </c>
      <c r="H38" t="s">
        <v>16</v>
      </c>
      <c r="I38">
        <v>37</v>
      </c>
    </row>
    <row r="39" spans="1:9" x14ac:dyDescent="0.25">
      <c r="A39" t="s">
        <v>277</v>
      </c>
      <c r="B39" t="s">
        <v>395</v>
      </c>
      <c r="C39" t="s">
        <v>109</v>
      </c>
      <c r="D39" t="s">
        <v>270</v>
      </c>
      <c r="E39" t="s">
        <v>278</v>
      </c>
      <c r="F39" t="s">
        <v>265</v>
      </c>
      <c r="G39" t="s">
        <v>130</v>
      </c>
      <c r="H39" t="s">
        <v>16</v>
      </c>
      <c r="I39">
        <v>38</v>
      </c>
    </row>
    <row r="40" spans="1:9" x14ac:dyDescent="0.25">
      <c r="A40" t="s">
        <v>279</v>
      </c>
      <c r="B40" t="s">
        <v>396</v>
      </c>
      <c r="C40" t="s">
        <v>109</v>
      </c>
      <c r="D40" t="s">
        <v>270</v>
      </c>
      <c r="E40" t="s">
        <v>397</v>
      </c>
      <c r="F40" t="s">
        <v>419</v>
      </c>
      <c r="G40" t="s">
        <v>132</v>
      </c>
      <c r="H40" t="s">
        <v>16</v>
      </c>
      <c r="I40">
        <v>39</v>
      </c>
    </row>
    <row r="41" spans="1:9" x14ac:dyDescent="0.25">
      <c r="A41" t="s">
        <v>282</v>
      </c>
      <c r="B41" t="s">
        <v>398</v>
      </c>
      <c r="C41" t="s">
        <v>109</v>
      </c>
      <c r="D41" t="s">
        <v>270</v>
      </c>
      <c r="E41" t="s">
        <v>399</v>
      </c>
      <c r="F41" t="s">
        <v>419</v>
      </c>
      <c r="G41" t="s">
        <v>400</v>
      </c>
      <c r="H41" t="s">
        <v>16</v>
      </c>
      <c r="I41">
        <v>40</v>
      </c>
    </row>
    <row r="42" spans="1:9" x14ac:dyDescent="0.25">
      <c r="A42" t="s">
        <v>303</v>
      </c>
      <c r="B42" t="s">
        <v>401</v>
      </c>
      <c r="C42" t="s">
        <v>210</v>
      </c>
      <c r="D42" t="s">
        <v>304</v>
      </c>
      <c r="E42" t="s">
        <v>421</v>
      </c>
      <c r="F42" t="s">
        <v>420</v>
      </c>
      <c r="G42" t="s">
        <v>212</v>
      </c>
      <c r="H42" t="s">
        <v>11</v>
      </c>
      <c r="I42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zoomScaleNormal="100" workbookViewId="0">
      <pane ySplit="1" topLeftCell="A83" activePane="bottomLeft" state="frozen"/>
      <selection pane="bottomLeft" activeCell="D91" sqref="D91"/>
    </sheetView>
  </sheetViews>
  <sheetFormatPr defaultRowHeight="15" x14ac:dyDescent="0.25"/>
  <cols>
    <col min="1" max="1" width="27.42578125" bestFit="1" customWidth="1"/>
    <col min="2" max="2" width="22.7109375" bestFit="1" customWidth="1"/>
    <col min="3" max="3" width="101.5703125" bestFit="1" customWidth="1"/>
    <col min="4" max="4" width="53" bestFit="1" customWidth="1"/>
    <col min="5" max="5" width="14.7109375" bestFit="1" customWidth="1"/>
    <col min="6" max="6" width="16.7109375" bestFit="1" customWidth="1"/>
    <col min="7" max="7" width="9.5703125" bestFit="1" customWidth="1"/>
    <col min="8" max="8" width="31.7109375" bestFit="1" customWidth="1"/>
    <col min="9" max="9" width="53.42578125" bestFit="1" customWidth="1"/>
    <col min="10" max="10" width="35" bestFit="1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247</v>
      </c>
      <c r="H1" t="s">
        <v>248</v>
      </c>
      <c r="I1" t="s">
        <v>249</v>
      </c>
      <c r="J1" t="s">
        <v>250</v>
      </c>
    </row>
    <row r="2" spans="1:10" ht="21.95" customHeight="1" x14ac:dyDescent="0.25">
      <c r="A2" s="2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4" t="s">
        <v>11</v>
      </c>
      <c r="G2" t="s">
        <v>251</v>
      </c>
      <c r="H2" t="s">
        <v>419</v>
      </c>
      <c r="I2" t="s">
        <v>390</v>
      </c>
      <c r="J2" t="s">
        <v>252</v>
      </c>
    </row>
    <row r="3" spans="1:10" ht="21.95" customHeight="1" x14ac:dyDescent="0.25">
      <c r="A3" s="5" t="s">
        <v>6</v>
      </c>
      <c r="B3" s="5" t="s">
        <v>7</v>
      </c>
      <c r="C3" s="6" t="s">
        <v>12</v>
      </c>
      <c r="D3" s="6" t="s">
        <v>13</v>
      </c>
      <c r="E3" s="5" t="s">
        <v>10</v>
      </c>
      <c r="F3" s="7" t="s">
        <v>11</v>
      </c>
      <c r="G3" t="s">
        <v>251</v>
      </c>
      <c r="H3" t="s">
        <v>419</v>
      </c>
      <c r="I3" t="s">
        <v>390</v>
      </c>
      <c r="J3" t="s">
        <v>252</v>
      </c>
    </row>
    <row r="4" spans="1:10" ht="21.95" customHeight="1" x14ac:dyDescent="0.25">
      <c r="A4" s="2" t="s">
        <v>6</v>
      </c>
      <c r="B4" s="2" t="s">
        <v>7</v>
      </c>
      <c r="C4" s="3" t="s">
        <v>14</v>
      </c>
      <c r="D4" s="3" t="s">
        <v>15</v>
      </c>
      <c r="E4" s="2" t="s">
        <v>10</v>
      </c>
      <c r="F4" s="8" t="s">
        <v>16</v>
      </c>
      <c r="G4" t="s">
        <v>251</v>
      </c>
      <c r="H4" t="s">
        <v>419</v>
      </c>
      <c r="I4" t="s">
        <v>390</v>
      </c>
      <c r="J4" t="s">
        <v>252</v>
      </c>
    </row>
    <row r="5" spans="1:10" ht="21.95" customHeight="1" x14ac:dyDescent="0.25">
      <c r="A5" s="2" t="s">
        <v>6</v>
      </c>
      <c r="B5" s="2" t="s">
        <v>18</v>
      </c>
      <c r="C5" s="3" t="s">
        <v>19</v>
      </c>
      <c r="D5" s="3" t="s">
        <v>20</v>
      </c>
      <c r="E5" s="2" t="s">
        <v>10</v>
      </c>
      <c r="F5" s="8" t="s">
        <v>16</v>
      </c>
      <c r="G5" t="s">
        <v>253</v>
      </c>
      <c r="H5" t="s">
        <v>419</v>
      </c>
      <c r="I5" t="s">
        <v>393</v>
      </c>
      <c r="J5" t="s">
        <v>252</v>
      </c>
    </row>
    <row r="6" spans="1:10" ht="21.95" customHeight="1" x14ac:dyDescent="0.25">
      <c r="A6" s="5" t="s">
        <v>6</v>
      </c>
      <c r="B6" s="5" t="s">
        <v>18</v>
      </c>
      <c r="C6" s="6" t="s">
        <v>21</v>
      </c>
      <c r="D6" s="6" t="s">
        <v>22</v>
      </c>
      <c r="E6" s="5" t="s">
        <v>10</v>
      </c>
      <c r="F6" s="8" t="s">
        <v>16</v>
      </c>
      <c r="G6" t="s">
        <v>253</v>
      </c>
      <c r="H6" t="s">
        <v>419</v>
      </c>
      <c r="I6" t="s">
        <v>393</v>
      </c>
      <c r="J6" t="s">
        <v>252</v>
      </c>
    </row>
    <row r="7" spans="1:10" ht="21.95" customHeight="1" x14ac:dyDescent="0.25">
      <c r="A7" s="2" t="s">
        <v>6</v>
      </c>
      <c r="B7" s="2" t="s">
        <v>18</v>
      </c>
      <c r="C7" s="3" t="s">
        <v>23</v>
      </c>
      <c r="D7" s="3" t="s">
        <v>24</v>
      </c>
      <c r="E7" s="2" t="s">
        <v>10</v>
      </c>
      <c r="F7" s="4" t="s">
        <v>11</v>
      </c>
      <c r="G7" t="s">
        <v>253</v>
      </c>
      <c r="H7" t="s">
        <v>419</v>
      </c>
      <c r="I7" t="s">
        <v>393</v>
      </c>
      <c r="J7" t="s">
        <v>252</v>
      </c>
    </row>
    <row r="8" spans="1:10" ht="21.95" customHeight="1" x14ac:dyDescent="0.25">
      <c r="A8" s="5" t="s">
        <v>6</v>
      </c>
      <c r="B8" s="5" t="s">
        <v>18</v>
      </c>
      <c r="C8" s="6" t="s">
        <v>25</v>
      </c>
      <c r="D8" s="6" t="s">
        <v>26</v>
      </c>
      <c r="E8" s="5" t="s">
        <v>10</v>
      </c>
      <c r="F8" s="7" t="s">
        <v>11</v>
      </c>
      <c r="G8" t="s">
        <v>253</v>
      </c>
      <c r="H8" t="s">
        <v>419</v>
      </c>
      <c r="I8" t="s">
        <v>393</v>
      </c>
      <c r="J8" t="s">
        <v>252</v>
      </c>
    </row>
    <row r="9" spans="1:10" ht="21.95" customHeight="1" x14ac:dyDescent="0.25">
      <c r="A9" s="2" t="s">
        <v>27</v>
      </c>
      <c r="B9" s="2" t="s">
        <v>28</v>
      </c>
      <c r="C9" s="3" t="s">
        <v>29</v>
      </c>
      <c r="D9" s="3" t="s">
        <v>30</v>
      </c>
      <c r="E9" s="2" t="s">
        <v>10</v>
      </c>
      <c r="F9" s="8" t="s">
        <v>16</v>
      </c>
      <c r="G9" t="s">
        <v>254</v>
      </c>
      <c r="H9" t="s">
        <v>418</v>
      </c>
      <c r="I9" t="s">
        <v>255</v>
      </c>
      <c r="J9" t="s">
        <v>256</v>
      </c>
    </row>
    <row r="10" spans="1:10" ht="21.95" customHeight="1" x14ac:dyDescent="0.25">
      <c r="A10" s="5" t="s">
        <v>27</v>
      </c>
      <c r="B10" s="5" t="s">
        <v>28</v>
      </c>
      <c r="C10" s="6" t="s">
        <v>31</v>
      </c>
      <c r="D10" s="6" t="s">
        <v>32</v>
      </c>
      <c r="E10" s="5" t="s">
        <v>10</v>
      </c>
      <c r="F10" s="7" t="s">
        <v>11</v>
      </c>
      <c r="G10" t="s">
        <v>254</v>
      </c>
      <c r="H10" t="s">
        <v>418</v>
      </c>
      <c r="I10" t="s">
        <v>255</v>
      </c>
      <c r="J10" t="s">
        <v>256</v>
      </c>
    </row>
    <row r="11" spans="1:10" ht="21.95" customHeight="1" x14ac:dyDescent="0.25">
      <c r="A11" s="2" t="s">
        <v>27</v>
      </c>
      <c r="B11" s="2" t="s">
        <v>28</v>
      </c>
      <c r="C11" s="3" t="s">
        <v>33</v>
      </c>
      <c r="D11" s="3" t="s">
        <v>34</v>
      </c>
      <c r="E11" s="2" t="s">
        <v>10</v>
      </c>
      <c r="F11" s="9" t="s">
        <v>17</v>
      </c>
      <c r="G11" t="s">
        <v>254</v>
      </c>
      <c r="H11" t="s">
        <v>418</v>
      </c>
      <c r="I11" t="s">
        <v>255</v>
      </c>
      <c r="J11" t="s">
        <v>256</v>
      </c>
    </row>
    <row r="12" spans="1:10" ht="21.95" customHeight="1" x14ac:dyDescent="0.25">
      <c r="A12" s="5" t="s">
        <v>27</v>
      </c>
      <c r="B12" s="5" t="s">
        <v>28</v>
      </c>
      <c r="C12" s="6" t="s">
        <v>35</v>
      </c>
      <c r="D12" s="6" t="s">
        <v>36</v>
      </c>
      <c r="E12" s="5" t="s">
        <v>10</v>
      </c>
      <c r="F12" s="8" t="s">
        <v>16</v>
      </c>
      <c r="G12" t="s">
        <v>254</v>
      </c>
      <c r="H12" t="s">
        <v>418</v>
      </c>
      <c r="I12" t="s">
        <v>255</v>
      </c>
      <c r="J12" t="s">
        <v>256</v>
      </c>
    </row>
    <row r="13" spans="1:10" ht="21.95" customHeight="1" x14ac:dyDescent="0.25">
      <c r="A13" s="2" t="s">
        <v>27</v>
      </c>
      <c r="B13" s="2" t="s">
        <v>28</v>
      </c>
      <c r="C13" s="3" t="s">
        <v>37</v>
      </c>
      <c r="D13" s="3" t="s">
        <v>38</v>
      </c>
      <c r="E13" s="2" t="s">
        <v>10</v>
      </c>
      <c r="F13" s="8" t="s">
        <v>16</v>
      </c>
      <c r="G13" t="s">
        <v>254</v>
      </c>
      <c r="H13" t="s">
        <v>418</v>
      </c>
      <c r="I13" t="s">
        <v>255</v>
      </c>
      <c r="J13" t="s">
        <v>256</v>
      </c>
    </row>
    <row r="14" spans="1:10" ht="21.95" customHeight="1" x14ac:dyDescent="0.25">
      <c r="A14" s="5" t="s">
        <v>27</v>
      </c>
      <c r="B14" s="5" t="s">
        <v>28</v>
      </c>
      <c r="C14" s="6" t="s">
        <v>39</v>
      </c>
      <c r="D14" s="6" t="s">
        <v>40</v>
      </c>
      <c r="E14" s="5" t="s">
        <v>10</v>
      </c>
      <c r="F14" s="7" t="s">
        <v>11</v>
      </c>
      <c r="G14" t="s">
        <v>254</v>
      </c>
      <c r="H14" t="s">
        <v>418</v>
      </c>
      <c r="I14" t="s">
        <v>255</v>
      </c>
      <c r="J14" t="s">
        <v>256</v>
      </c>
    </row>
    <row r="15" spans="1:10" ht="21.95" customHeight="1" x14ac:dyDescent="0.25">
      <c r="A15" s="2" t="s">
        <v>27</v>
      </c>
      <c r="B15" s="2" t="s">
        <v>28</v>
      </c>
      <c r="C15" s="3" t="s">
        <v>41</v>
      </c>
      <c r="D15" s="3" t="s">
        <v>42</v>
      </c>
      <c r="E15" s="2" t="s">
        <v>10</v>
      </c>
      <c r="F15" s="4" t="s">
        <v>11</v>
      </c>
      <c r="G15" t="s">
        <v>254</v>
      </c>
      <c r="H15" t="s">
        <v>418</v>
      </c>
      <c r="I15" t="s">
        <v>255</v>
      </c>
      <c r="J15" t="s">
        <v>256</v>
      </c>
    </row>
    <row r="16" spans="1:10" ht="21.95" customHeight="1" x14ac:dyDescent="0.25">
      <c r="A16" s="5" t="s">
        <v>27</v>
      </c>
      <c r="B16" s="5" t="s">
        <v>43</v>
      </c>
      <c r="C16" s="6" t="s">
        <v>44</v>
      </c>
      <c r="D16" s="6" t="s">
        <v>45</v>
      </c>
      <c r="E16" s="5" t="s">
        <v>10</v>
      </c>
      <c r="F16" s="8" t="s">
        <v>16</v>
      </c>
      <c r="G16" t="s">
        <v>257</v>
      </c>
      <c r="H16" t="s">
        <v>418</v>
      </c>
      <c r="I16" t="s">
        <v>258</v>
      </c>
      <c r="J16" t="s">
        <v>256</v>
      </c>
    </row>
    <row r="17" spans="1:10" ht="21.95" customHeight="1" x14ac:dyDescent="0.25">
      <c r="A17" s="2" t="s">
        <v>27</v>
      </c>
      <c r="B17" s="2" t="s">
        <v>43</v>
      </c>
      <c r="C17" s="3" t="s">
        <v>46</v>
      </c>
      <c r="D17" s="3" t="s">
        <v>47</v>
      </c>
      <c r="E17" s="2" t="s">
        <v>10</v>
      </c>
      <c r="F17" s="4" t="s">
        <v>11</v>
      </c>
      <c r="G17" t="s">
        <v>257</v>
      </c>
      <c r="H17" t="s">
        <v>418</v>
      </c>
      <c r="I17" t="s">
        <v>258</v>
      </c>
      <c r="J17" t="s">
        <v>256</v>
      </c>
    </row>
    <row r="18" spans="1:10" ht="21.95" customHeight="1" x14ac:dyDescent="0.25">
      <c r="A18" s="5" t="s">
        <v>27</v>
      </c>
      <c r="B18" s="5" t="s">
        <v>43</v>
      </c>
      <c r="C18" s="6" t="s">
        <v>48</v>
      </c>
      <c r="D18" s="6" t="s">
        <v>49</v>
      </c>
      <c r="E18" s="5" t="s">
        <v>10</v>
      </c>
      <c r="F18" s="9" t="s">
        <v>17</v>
      </c>
      <c r="G18" t="s">
        <v>257</v>
      </c>
      <c r="H18" t="s">
        <v>418</v>
      </c>
      <c r="I18" t="s">
        <v>258</v>
      </c>
      <c r="J18" t="s">
        <v>256</v>
      </c>
    </row>
    <row r="19" spans="1:10" ht="21.95" customHeight="1" x14ac:dyDescent="0.25">
      <c r="A19" s="2" t="s">
        <v>27</v>
      </c>
      <c r="B19" s="2" t="s">
        <v>43</v>
      </c>
      <c r="C19" s="3" t="s">
        <v>50</v>
      </c>
      <c r="D19" s="3" t="s">
        <v>51</v>
      </c>
      <c r="E19" s="2" t="s">
        <v>10</v>
      </c>
      <c r="F19" s="9" t="s">
        <v>17</v>
      </c>
      <c r="G19" t="s">
        <v>257</v>
      </c>
      <c r="H19" t="s">
        <v>418</v>
      </c>
      <c r="I19" t="s">
        <v>258</v>
      </c>
      <c r="J19" t="s">
        <v>256</v>
      </c>
    </row>
    <row r="20" spans="1:10" ht="21.95" customHeight="1" x14ac:dyDescent="0.25">
      <c r="A20" s="5" t="s">
        <v>27</v>
      </c>
      <c r="B20" s="5" t="s">
        <v>43</v>
      </c>
      <c r="C20" s="6" t="s">
        <v>52</v>
      </c>
      <c r="D20" s="6" t="s">
        <v>53</v>
      </c>
      <c r="E20" s="5" t="s">
        <v>10</v>
      </c>
      <c r="F20" s="8" t="s">
        <v>16</v>
      </c>
      <c r="G20" t="s">
        <v>257</v>
      </c>
      <c r="H20" t="s">
        <v>418</v>
      </c>
      <c r="I20" t="s">
        <v>258</v>
      </c>
      <c r="J20" t="s">
        <v>256</v>
      </c>
    </row>
    <row r="21" spans="1:10" ht="21.95" customHeight="1" x14ac:dyDescent="0.25">
      <c r="A21" s="2" t="s">
        <v>27</v>
      </c>
      <c r="B21" s="2" t="s">
        <v>43</v>
      </c>
      <c r="C21" s="3" t="s">
        <v>54</v>
      </c>
      <c r="D21" s="3" t="s">
        <v>55</v>
      </c>
      <c r="E21" s="2" t="s">
        <v>10</v>
      </c>
      <c r="F21" s="9" t="s">
        <v>17</v>
      </c>
      <c r="G21" t="s">
        <v>259</v>
      </c>
      <c r="H21" t="s">
        <v>419</v>
      </c>
      <c r="I21" t="s">
        <v>326</v>
      </c>
      <c r="J21" t="s">
        <v>256</v>
      </c>
    </row>
    <row r="22" spans="1:10" ht="21.95" customHeight="1" x14ac:dyDescent="0.25">
      <c r="A22" s="5" t="s">
        <v>56</v>
      </c>
      <c r="B22" s="5" t="s">
        <v>57</v>
      </c>
      <c r="C22" s="6" t="s">
        <v>58</v>
      </c>
      <c r="D22" s="6" t="s">
        <v>59</v>
      </c>
      <c r="E22" s="5" t="s">
        <v>10</v>
      </c>
      <c r="F22" s="9" t="s">
        <v>17</v>
      </c>
      <c r="G22" t="s">
        <v>260</v>
      </c>
      <c r="H22" t="s">
        <v>419</v>
      </c>
      <c r="I22" t="s">
        <v>328</v>
      </c>
      <c r="J22" t="s">
        <v>256</v>
      </c>
    </row>
    <row r="23" spans="1:10" ht="21.95" customHeight="1" x14ac:dyDescent="0.25">
      <c r="A23" s="2" t="s">
        <v>56</v>
      </c>
      <c r="B23" s="2" t="s">
        <v>57</v>
      </c>
      <c r="C23" s="3" t="s">
        <v>60</v>
      </c>
      <c r="D23" s="3" t="s">
        <v>61</v>
      </c>
      <c r="E23" s="2" t="s">
        <v>10</v>
      </c>
      <c r="F23" s="9" t="s">
        <v>17</v>
      </c>
      <c r="G23" t="s">
        <v>261</v>
      </c>
      <c r="H23" t="s">
        <v>419</v>
      </c>
      <c r="I23" t="s">
        <v>330</v>
      </c>
      <c r="J23" t="s">
        <v>256</v>
      </c>
    </row>
    <row r="24" spans="1:10" ht="21.95" customHeight="1" x14ac:dyDescent="0.25">
      <c r="A24" s="5" t="s">
        <v>56</v>
      </c>
      <c r="B24" s="5" t="s">
        <v>57</v>
      </c>
      <c r="C24" s="6" t="s">
        <v>62</v>
      </c>
      <c r="D24" s="6" t="s">
        <v>63</v>
      </c>
      <c r="E24" s="5" t="s">
        <v>10</v>
      </c>
      <c r="F24" s="8" t="s">
        <v>16</v>
      </c>
      <c r="G24" t="s">
        <v>261</v>
      </c>
      <c r="H24" t="s">
        <v>419</v>
      </c>
      <c r="I24" t="s">
        <v>330</v>
      </c>
      <c r="J24" t="s">
        <v>256</v>
      </c>
    </row>
    <row r="25" spans="1:10" ht="21.95" customHeight="1" x14ac:dyDescent="0.25">
      <c r="A25" s="2" t="s">
        <v>56</v>
      </c>
      <c r="B25" s="2" t="s">
        <v>57</v>
      </c>
      <c r="C25" s="3" t="s">
        <v>64</v>
      </c>
      <c r="D25" s="3" t="s">
        <v>65</v>
      </c>
      <c r="E25" s="2" t="s">
        <v>10</v>
      </c>
      <c r="F25" s="4" t="s">
        <v>11</v>
      </c>
      <c r="G25" t="s">
        <v>261</v>
      </c>
      <c r="H25" t="s">
        <v>419</v>
      </c>
      <c r="I25" t="s">
        <v>330</v>
      </c>
      <c r="J25" t="s">
        <v>256</v>
      </c>
    </row>
    <row r="26" spans="1:10" ht="21.95" customHeight="1" x14ac:dyDescent="0.25">
      <c r="A26" s="5" t="s">
        <v>56</v>
      </c>
      <c r="B26" s="5" t="s">
        <v>57</v>
      </c>
      <c r="C26" s="6" t="s">
        <v>66</v>
      </c>
      <c r="D26" s="6" t="s">
        <v>67</v>
      </c>
      <c r="E26" s="5" t="s">
        <v>10</v>
      </c>
      <c r="F26" s="7" t="s">
        <v>11</v>
      </c>
      <c r="G26" t="s">
        <v>261</v>
      </c>
      <c r="H26" t="s">
        <v>419</v>
      </c>
      <c r="I26" t="s">
        <v>330</v>
      </c>
      <c r="J26" t="s">
        <v>256</v>
      </c>
    </row>
    <row r="27" spans="1:10" ht="21.95" customHeight="1" x14ac:dyDescent="0.25">
      <c r="A27" s="2" t="s">
        <v>56</v>
      </c>
      <c r="B27" s="2" t="s">
        <v>57</v>
      </c>
      <c r="C27" s="3" t="s">
        <v>68</v>
      </c>
      <c r="D27" s="3" t="s">
        <v>69</v>
      </c>
      <c r="E27" s="2" t="s">
        <v>10</v>
      </c>
      <c r="F27" s="4" t="s">
        <v>11</v>
      </c>
      <c r="G27" t="s">
        <v>261</v>
      </c>
      <c r="H27" t="s">
        <v>419</v>
      </c>
      <c r="I27" t="s">
        <v>330</v>
      </c>
      <c r="J27" t="s">
        <v>256</v>
      </c>
    </row>
    <row r="28" spans="1:10" ht="21.95" customHeight="1" x14ac:dyDescent="0.25">
      <c r="A28" s="5" t="s">
        <v>56</v>
      </c>
      <c r="B28" s="5" t="s">
        <v>57</v>
      </c>
      <c r="C28" s="6" t="s">
        <v>70</v>
      </c>
      <c r="D28" s="6" t="s">
        <v>71</v>
      </c>
      <c r="E28" s="5" t="s">
        <v>10</v>
      </c>
      <c r="F28" s="7" t="s">
        <v>11</v>
      </c>
      <c r="G28" t="s">
        <v>261</v>
      </c>
      <c r="H28" t="s">
        <v>419</v>
      </c>
      <c r="I28" t="s">
        <v>330</v>
      </c>
      <c r="J28" t="s">
        <v>256</v>
      </c>
    </row>
    <row r="29" spans="1:10" ht="21.95" customHeight="1" x14ac:dyDescent="0.25">
      <c r="A29" s="2" t="s">
        <v>56</v>
      </c>
      <c r="B29" s="2" t="s">
        <v>57</v>
      </c>
      <c r="C29" s="3" t="s">
        <v>72</v>
      </c>
      <c r="D29" s="3" t="s">
        <v>73</v>
      </c>
      <c r="E29" s="2" t="s">
        <v>10</v>
      </c>
      <c r="F29" s="4" t="s">
        <v>11</v>
      </c>
      <c r="G29" t="s">
        <v>261</v>
      </c>
      <c r="H29" t="s">
        <v>419</v>
      </c>
      <c r="I29" t="s">
        <v>330</v>
      </c>
      <c r="J29" t="s">
        <v>256</v>
      </c>
    </row>
    <row r="30" spans="1:10" ht="21.95" customHeight="1" x14ac:dyDescent="0.25">
      <c r="A30" s="5" t="s">
        <v>56</v>
      </c>
      <c r="B30" s="5" t="s">
        <v>57</v>
      </c>
      <c r="C30" s="6" t="s">
        <v>74</v>
      </c>
      <c r="D30" s="6" t="s">
        <v>75</v>
      </c>
      <c r="E30" s="5" t="s">
        <v>10</v>
      </c>
      <c r="F30" s="9" t="s">
        <v>17</v>
      </c>
      <c r="G30" t="s">
        <v>261</v>
      </c>
      <c r="H30" t="s">
        <v>419</v>
      </c>
      <c r="I30" t="s">
        <v>330</v>
      </c>
      <c r="J30" t="s">
        <v>256</v>
      </c>
    </row>
    <row r="31" spans="1:10" ht="21.95" customHeight="1" x14ac:dyDescent="0.25">
      <c r="A31" s="2" t="s">
        <v>56</v>
      </c>
      <c r="B31" s="2" t="s">
        <v>57</v>
      </c>
      <c r="C31" s="3" t="s">
        <v>76</v>
      </c>
      <c r="D31" s="3" t="s">
        <v>77</v>
      </c>
      <c r="E31" s="2" t="s">
        <v>10</v>
      </c>
      <c r="F31" s="8" t="s">
        <v>16</v>
      </c>
      <c r="G31" t="s">
        <v>261</v>
      </c>
      <c r="H31" t="s">
        <v>419</v>
      </c>
      <c r="I31" t="s">
        <v>330</v>
      </c>
      <c r="J31" t="s">
        <v>256</v>
      </c>
    </row>
    <row r="32" spans="1:10" ht="21.95" customHeight="1" x14ac:dyDescent="0.25">
      <c r="A32" s="5" t="s">
        <v>56</v>
      </c>
      <c r="B32" s="5" t="s">
        <v>57</v>
      </c>
      <c r="C32" s="6" t="s">
        <v>78</v>
      </c>
      <c r="D32" s="6" t="s">
        <v>79</v>
      </c>
      <c r="E32" s="5" t="s">
        <v>10</v>
      </c>
      <c r="F32" s="8" t="s">
        <v>16</v>
      </c>
      <c r="G32" t="s">
        <v>261</v>
      </c>
      <c r="H32" t="s">
        <v>419</v>
      </c>
      <c r="I32" t="s">
        <v>330</v>
      </c>
      <c r="J32" t="s">
        <v>256</v>
      </c>
    </row>
    <row r="33" spans="1:10" ht="21.95" customHeight="1" x14ac:dyDescent="0.25">
      <c r="A33" s="2" t="s">
        <v>56</v>
      </c>
      <c r="B33" s="2" t="s">
        <v>57</v>
      </c>
      <c r="C33" s="3" t="s">
        <v>80</v>
      </c>
      <c r="D33" s="3" t="s">
        <v>81</v>
      </c>
      <c r="E33" s="2" t="s">
        <v>10</v>
      </c>
      <c r="F33" s="9" t="s">
        <v>17</v>
      </c>
      <c r="G33" t="s">
        <v>262</v>
      </c>
      <c r="H33" t="s">
        <v>265</v>
      </c>
      <c r="I33" t="s">
        <v>263</v>
      </c>
      <c r="J33" t="s">
        <v>256</v>
      </c>
    </row>
    <row r="34" spans="1:10" ht="21.95" customHeight="1" x14ac:dyDescent="0.25">
      <c r="A34" s="5" t="s">
        <v>56</v>
      </c>
      <c r="B34" s="5" t="s">
        <v>57</v>
      </c>
      <c r="C34" s="6" t="s">
        <v>82</v>
      </c>
      <c r="D34" s="6" t="s">
        <v>83</v>
      </c>
      <c r="E34" s="5" t="s">
        <v>10</v>
      </c>
      <c r="F34" s="9" t="s">
        <v>17</v>
      </c>
      <c r="G34" t="s">
        <v>262</v>
      </c>
      <c r="H34" t="s">
        <v>265</v>
      </c>
      <c r="I34" t="s">
        <v>263</v>
      </c>
      <c r="J34" t="s">
        <v>256</v>
      </c>
    </row>
    <row r="35" spans="1:10" ht="21.95" customHeight="1" x14ac:dyDescent="0.25">
      <c r="A35" s="2" t="s">
        <v>56</v>
      </c>
      <c r="B35" s="2" t="s">
        <v>57</v>
      </c>
      <c r="C35" s="3" t="s">
        <v>84</v>
      </c>
      <c r="D35" s="3" t="s">
        <v>85</v>
      </c>
      <c r="E35" s="2" t="s">
        <v>10</v>
      </c>
      <c r="F35" s="9" t="s">
        <v>17</v>
      </c>
      <c r="G35" t="s">
        <v>262</v>
      </c>
      <c r="H35" t="s">
        <v>265</v>
      </c>
      <c r="I35" t="s">
        <v>263</v>
      </c>
      <c r="J35" t="s">
        <v>256</v>
      </c>
    </row>
    <row r="36" spans="1:10" ht="21.95" customHeight="1" x14ac:dyDescent="0.25">
      <c r="A36" s="5" t="s">
        <v>56</v>
      </c>
      <c r="B36" s="5" t="s">
        <v>57</v>
      </c>
      <c r="C36" s="6" t="s">
        <v>86</v>
      </c>
      <c r="D36" s="6" t="s">
        <v>87</v>
      </c>
      <c r="E36" s="5" t="s">
        <v>10</v>
      </c>
      <c r="F36" s="8" t="s">
        <v>16</v>
      </c>
      <c r="G36" t="s">
        <v>262</v>
      </c>
      <c r="H36" t="s">
        <v>265</v>
      </c>
      <c r="I36" t="s">
        <v>263</v>
      </c>
      <c r="J36" t="s">
        <v>256</v>
      </c>
    </row>
    <row r="37" spans="1:10" ht="21.95" customHeight="1" x14ac:dyDescent="0.25">
      <c r="A37" s="2" t="s">
        <v>56</v>
      </c>
      <c r="B37" s="2" t="s">
        <v>57</v>
      </c>
      <c r="C37" s="3" t="s">
        <v>88</v>
      </c>
      <c r="D37" s="3" t="s">
        <v>89</v>
      </c>
      <c r="E37" s="2" t="s">
        <v>10</v>
      </c>
      <c r="F37" s="8" t="s">
        <v>16</v>
      </c>
      <c r="G37" t="s">
        <v>262</v>
      </c>
      <c r="H37" t="s">
        <v>265</v>
      </c>
      <c r="I37" t="s">
        <v>263</v>
      </c>
      <c r="J37" t="s">
        <v>256</v>
      </c>
    </row>
    <row r="38" spans="1:10" ht="21.95" customHeight="1" x14ac:dyDescent="0.25">
      <c r="A38" s="5" t="s">
        <v>56</v>
      </c>
      <c r="B38" s="5" t="s">
        <v>90</v>
      </c>
      <c r="C38" s="6" t="s">
        <v>91</v>
      </c>
      <c r="D38" s="6" t="s">
        <v>92</v>
      </c>
      <c r="E38" s="5" t="s">
        <v>10</v>
      </c>
      <c r="F38" s="9" t="s">
        <v>17</v>
      </c>
      <c r="G38" t="s">
        <v>264</v>
      </c>
      <c r="H38" t="s">
        <v>265</v>
      </c>
      <c r="I38" t="s">
        <v>266</v>
      </c>
      <c r="J38" t="s">
        <v>256</v>
      </c>
    </row>
    <row r="39" spans="1:10" ht="21.95" customHeight="1" x14ac:dyDescent="0.25">
      <c r="A39" s="2" t="s">
        <v>56</v>
      </c>
      <c r="B39" s="2" t="s">
        <v>90</v>
      </c>
      <c r="C39" s="3" t="s">
        <v>93</v>
      </c>
      <c r="D39" s="3" t="s">
        <v>94</v>
      </c>
      <c r="E39" s="2" t="s">
        <v>10</v>
      </c>
      <c r="F39" s="4" t="s">
        <v>11</v>
      </c>
      <c r="G39" t="s">
        <v>264</v>
      </c>
      <c r="H39" t="s">
        <v>265</v>
      </c>
      <c r="I39" t="s">
        <v>266</v>
      </c>
      <c r="J39" t="s">
        <v>256</v>
      </c>
    </row>
    <row r="40" spans="1:10" ht="21.95" customHeight="1" x14ac:dyDescent="0.25">
      <c r="A40" s="5" t="s">
        <v>56</v>
      </c>
      <c r="B40" s="5" t="s">
        <v>90</v>
      </c>
      <c r="C40" s="6" t="s">
        <v>95</v>
      </c>
      <c r="D40" s="6" t="s">
        <v>96</v>
      </c>
      <c r="E40" s="5" t="s">
        <v>10</v>
      </c>
      <c r="F40" s="9" t="s">
        <v>17</v>
      </c>
      <c r="G40" t="s">
        <v>264</v>
      </c>
      <c r="H40" t="s">
        <v>265</v>
      </c>
      <c r="I40" t="s">
        <v>266</v>
      </c>
      <c r="J40" t="s">
        <v>256</v>
      </c>
    </row>
    <row r="41" spans="1:10" ht="21.95" customHeight="1" x14ac:dyDescent="0.25">
      <c r="A41" s="2" t="s">
        <v>56</v>
      </c>
      <c r="B41" s="2" t="s">
        <v>90</v>
      </c>
      <c r="C41" s="3" t="s">
        <v>97</v>
      </c>
      <c r="D41" s="3" t="s">
        <v>98</v>
      </c>
      <c r="E41" s="2" t="s">
        <v>10</v>
      </c>
      <c r="F41" s="9" t="s">
        <v>17</v>
      </c>
      <c r="G41" t="s">
        <v>264</v>
      </c>
      <c r="H41" t="s">
        <v>265</v>
      </c>
      <c r="I41" t="s">
        <v>266</v>
      </c>
      <c r="J41" t="s">
        <v>256</v>
      </c>
    </row>
    <row r="42" spans="1:10" ht="21.95" customHeight="1" x14ac:dyDescent="0.25">
      <c r="A42" s="5" t="s">
        <v>56</v>
      </c>
      <c r="B42" s="5" t="s">
        <v>90</v>
      </c>
      <c r="C42" s="6" t="s">
        <v>99</v>
      </c>
      <c r="D42" s="6" t="s">
        <v>100</v>
      </c>
      <c r="E42" s="5" t="s">
        <v>10</v>
      </c>
      <c r="F42" s="7" t="s">
        <v>11</v>
      </c>
      <c r="G42" t="s">
        <v>264</v>
      </c>
      <c r="H42" t="s">
        <v>265</v>
      </c>
      <c r="I42" t="s">
        <v>266</v>
      </c>
      <c r="J42" t="s">
        <v>256</v>
      </c>
    </row>
    <row r="43" spans="1:10" ht="21.95" customHeight="1" x14ac:dyDescent="0.25">
      <c r="A43" s="2" t="s">
        <v>56</v>
      </c>
      <c r="B43" s="2" t="s">
        <v>90</v>
      </c>
      <c r="C43" s="3" t="s">
        <v>101</v>
      </c>
      <c r="D43" s="3" t="s">
        <v>102</v>
      </c>
      <c r="E43" s="2" t="s">
        <v>10</v>
      </c>
      <c r="F43" s="9" t="s">
        <v>17</v>
      </c>
      <c r="G43" t="s">
        <v>267</v>
      </c>
      <c r="H43" t="s">
        <v>419</v>
      </c>
      <c r="I43" t="s">
        <v>337</v>
      </c>
      <c r="J43" t="s">
        <v>256</v>
      </c>
    </row>
    <row r="44" spans="1:10" ht="21.95" customHeight="1" x14ac:dyDescent="0.25">
      <c r="A44" s="5" t="s">
        <v>56</v>
      </c>
      <c r="B44" s="5" t="s">
        <v>90</v>
      </c>
      <c r="C44" s="6" t="s">
        <v>103</v>
      </c>
      <c r="D44" s="6" t="s">
        <v>104</v>
      </c>
      <c r="E44" s="5" t="s">
        <v>10</v>
      </c>
      <c r="F44" s="9" t="s">
        <v>17</v>
      </c>
      <c r="G44" t="s">
        <v>267</v>
      </c>
      <c r="H44" t="s">
        <v>419</v>
      </c>
      <c r="I44" t="s">
        <v>337</v>
      </c>
      <c r="J44" t="s">
        <v>256</v>
      </c>
    </row>
    <row r="45" spans="1:10" ht="21.95" customHeight="1" x14ac:dyDescent="0.25">
      <c r="A45" s="2" t="s">
        <v>56</v>
      </c>
      <c r="B45" s="2" t="s">
        <v>90</v>
      </c>
      <c r="C45" s="3" t="s">
        <v>105</v>
      </c>
      <c r="D45" s="3" t="s">
        <v>106</v>
      </c>
      <c r="E45" s="2" t="s">
        <v>10</v>
      </c>
      <c r="F45" s="8" t="s">
        <v>16</v>
      </c>
      <c r="G45" t="s">
        <v>267</v>
      </c>
      <c r="H45" t="s">
        <v>419</v>
      </c>
      <c r="I45" t="s">
        <v>337</v>
      </c>
      <c r="J45" t="s">
        <v>256</v>
      </c>
    </row>
    <row r="46" spans="1:10" ht="21.95" customHeight="1" x14ac:dyDescent="0.25">
      <c r="A46" s="5" t="s">
        <v>56</v>
      </c>
      <c r="B46" s="5" t="s">
        <v>90</v>
      </c>
      <c r="C46" s="6" t="s">
        <v>107</v>
      </c>
      <c r="D46" s="6" t="s">
        <v>108</v>
      </c>
      <c r="E46" s="5" t="s">
        <v>10</v>
      </c>
      <c r="F46" s="9" t="s">
        <v>17</v>
      </c>
      <c r="G46" t="s">
        <v>267</v>
      </c>
      <c r="H46" t="s">
        <v>419</v>
      </c>
      <c r="I46" t="s">
        <v>337</v>
      </c>
      <c r="J46" t="s">
        <v>256</v>
      </c>
    </row>
    <row r="47" spans="1:10" ht="21.95" customHeight="1" x14ac:dyDescent="0.25">
      <c r="A47" s="2" t="s">
        <v>109</v>
      </c>
      <c r="B47" s="2" t="s">
        <v>110</v>
      </c>
      <c r="C47" s="3" t="s">
        <v>111</v>
      </c>
      <c r="D47" s="3" t="s">
        <v>112</v>
      </c>
      <c r="E47" s="2" t="s">
        <v>10</v>
      </c>
      <c r="F47" s="9" t="s">
        <v>17</v>
      </c>
      <c r="G47" t="s">
        <v>268</v>
      </c>
      <c r="H47" t="s">
        <v>265</v>
      </c>
      <c r="I47" t="s">
        <v>269</v>
      </c>
      <c r="J47" t="s">
        <v>270</v>
      </c>
    </row>
    <row r="48" spans="1:10" ht="21.95" customHeight="1" x14ac:dyDescent="0.25">
      <c r="A48" s="5" t="s">
        <v>109</v>
      </c>
      <c r="B48" s="5" t="s">
        <v>110</v>
      </c>
      <c r="C48" s="6" t="s">
        <v>113</v>
      </c>
      <c r="D48" s="6" t="s">
        <v>114</v>
      </c>
      <c r="E48" s="5" t="s">
        <v>10</v>
      </c>
      <c r="F48" s="9" t="s">
        <v>17</v>
      </c>
      <c r="G48" t="s">
        <v>268</v>
      </c>
      <c r="H48" t="s">
        <v>265</v>
      </c>
      <c r="I48" t="s">
        <v>269</v>
      </c>
      <c r="J48" t="s">
        <v>270</v>
      </c>
    </row>
    <row r="49" spans="1:10" ht="21.95" customHeight="1" x14ac:dyDescent="0.25">
      <c r="A49" s="2" t="s">
        <v>109</v>
      </c>
      <c r="B49" s="2" t="s">
        <v>110</v>
      </c>
      <c r="C49" s="3" t="s">
        <v>115</v>
      </c>
      <c r="D49" s="3" t="s">
        <v>116</v>
      </c>
      <c r="E49" s="2" t="s">
        <v>10</v>
      </c>
      <c r="F49" s="9" t="s">
        <v>17</v>
      </c>
      <c r="G49" t="s">
        <v>268</v>
      </c>
      <c r="H49" t="s">
        <v>265</v>
      </c>
      <c r="I49" t="s">
        <v>269</v>
      </c>
      <c r="J49" t="s">
        <v>270</v>
      </c>
    </row>
    <row r="50" spans="1:10" ht="21.95" customHeight="1" x14ac:dyDescent="0.25">
      <c r="A50" s="5" t="s">
        <v>109</v>
      </c>
      <c r="B50" s="5" t="s">
        <v>117</v>
      </c>
      <c r="C50" s="6" t="s">
        <v>118</v>
      </c>
      <c r="D50" s="6" t="s">
        <v>119</v>
      </c>
      <c r="E50" s="5" t="s">
        <v>10</v>
      </c>
      <c r="F50" s="9" t="s">
        <v>17</v>
      </c>
      <c r="G50" t="s">
        <v>271</v>
      </c>
      <c r="H50" t="s">
        <v>419</v>
      </c>
      <c r="I50" t="s">
        <v>342</v>
      </c>
      <c r="J50" t="s">
        <v>270</v>
      </c>
    </row>
    <row r="51" spans="1:10" ht="21.95" customHeight="1" x14ac:dyDescent="0.25">
      <c r="A51" s="2" t="s">
        <v>109</v>
      </c>
      <c r="B51" s="2" t="s">
        <v>117</v>
      </c>
      <c r="C51" s="3" t="s">
        <v>120</v>
      </c>
      <c r="D51" s="3" t="s">
        <v>121</v>
      </c>
      <c r="E51" s="2" t="s">
        <v>10</v>
      </c>
      <c r="F51" s="8" t="s">
        <v>16</v>
      </c>
      <c r="G51" t="s">
        <v>271</v>
      </c>
      <c r="H51" t="s">
        <v>419</v>
      </c>
      <c r="I51" t="s">
        <v>342</v>
      </c>
      <c r="J51" t="s">
        <v>270</v>
      </c>
    </row>
    <row r="52" spans="1:10" ht="21.95" customHeight="1" x14ac:dyDescent="0.25">
      <c r="A52" s="5" t="s">
        <v>109</v>
      </c>
      <c r="B52" s="5" t="s">
        <v>117</v>
      </c>
      <c r="C52" s="6" t="s">
        <v>122</v>
      </c>
      <c r="D52" s="6" t="s">
        <v>123</v>
      </c>
      <c r="E52" s="5" t="s">
        <v>10</v>
      </c>
      <c r="F52" s="9" t="s">
        <v>17</v>
      </c>
      <c r="G52" t="s">
        <v>272</v>
      </c>
      <c r="H52" t="s">
        <v>265</v>
      </c>
      <c r="I52" t="s">
        <v>273</v>
      </c>
      <c r="J52" t="s">
        <v>270</v>
      </c>
    </row>
    <row r="53" spans="1:10" ht="21.95" customHeight="1" x14ac:dyDescent="0.25">
      <c r="A53" s="2" t="s">
        <v>109</v>
      </c>
      <c r="B53" s="2" t="s">
        <v>117</v>
      </c>
      <c r="C53" s="3" t="s">
        <v>124</v>
      </c>
      <c r="D53" s="3" t="s">
        <v>125</v>
      </c>
      <c r="E53" s="2" t="s">
        <v>10</v>
      </c>
      <c r="F53" s="9" t="s">
        <v>17</v>
      </c>
      <c r="G53" t="s">
        <v>274</v>
      </c>
      <c r="H53" t="s">
        <v>265</v>
      </c>
      <c r="I53" t="s">
        <v>275</v>
      </c>
      <c r="J53" t="s">
        <v>270</v>
      </c>
    </row>
    <row r="54" spans="1:10" ht="21.95" customHeight="1" x14ac:dyDescent="0.25">
      <c r="A54" s="5" t="s">
        <v>109</v>
      </c>
      <c r="B54" s="5" t="s">
        <v>117</v>
      </c>
      <c r="C54" s="6" t="s">
        <v>126</v>
      </c>
      <c r="D54" s="6" t="s">
        <v>127</v>
      </c>
      <c r="E54" s="5" t="s">
        <v>10</v>
      </c>
      <c r="F54" s="9" t="s">
        <v>17</v>
      </c>
      <c r="G54" t="s">
        <v>276</v>
      </c>
      <c r="H54" t="s">
        <v>419</v>
      </c>
      <c r="I54" t="s">
        <v>347</v>
      </c>
      <c r="J54" t="s">
        <v>270</v>
      </c>
    </row>
    <row r="55" spans="1:10" ht="21.95" customHeight="1" x14ac:dyDescent="0.25">
      <c r="A55" s="2" t="s">
        <v>109</v>
      </c>
      <c r="B55" s="2" t="s">
        <v>117</v>
      </c>
      <c r="C55" s="3" t="s">
        <v>128</v>
      </c>
      <c r="D55" s="3" t="s">
        <v>129</v>
      </c>
      <c r="E55" s="2" t="s">
        <v>10</v>
      </c>
      <c r="F55" s="8" t="s">
        <v>16</v>
      </c>
      <c r="G55" t="s">
        <v>276</v>
      </c>
      <c r="H55" t="s">
        <v>419</v>
      </c>
      <c r="I55" t="s">
        <v>347</v>
      </c>
      <c r="J55" t="s">
        <v>270</v>
      </c>
    </row>
    <row r="56" spans="1:10" ht="21.95" customHeight="1" x14ac:dyDescent="0.25">
      <c r="A56" s="5" t="s">
        <v>109</v>
      </c>
      <c r="B56" s="5" t="s">
        <v>117</v>
      </c>
      <c r="C56" s="6" t="s">
        <v>130</v>
      </c>
      <c r="D56" s="6" t="s">
        <v>131</v>
      </c>
      <c r="E56" s="5" t="s">
        <v>10</v>
      </c>
      <c r="F56" s="8" t="s">
        <v>16</v>
      </c>
      <c r="G56" t="s">
        <v>277</v>
      </c>
      <c r="H56" t="s">
        <v>265</v>
      </c>
      <c r="I56" t="s">
        <v>278</v>
      </c>
      <c r="J56" t="s">
        <v>270</v>
      </c>
    </row>
    <row r="57" spans="1:10" ht="21.95" customHeight="1" x14ac:dyDescent="0.25">
      <c r="A57" s="2" t="s">
        <v>109</v>
      </c>
      <c r="B57" s="2" t="s">
        <v>117</v>
      </c>
      <c r="C57" s="3" t="s">
        <v>132</v>
      </c>
      <c r="D57" s="3" t="s">
        <v>133</v>
      </c>
      <c r="E57" s="2" t="s">
        <v>10</v>
      </c>
      <c r="F57" s="8" t="s">
        <v>16</v>
      </c>
      <c r="G57" t="s">
        <v>279</v>
      </c>
      <c r="H57" t="s">
        <v>419</v>
      </c>
      <c r="I57" t="s">
        <v>397</v>
      </c>
      <c r="J57" t="s">
        <v>270</v>
      </c>
    </row>
    <row r="58" spans="1:10" ht="21.95" customHeight="1" x14ac:dyDescent="0.25">
      <c r="A58" s="5" t="s">
        <v>109</v>
      </c>
      <c r="B58" s="5" t="s">
        <v>117</v>
      </c>
      <c r="C58" s="6" t="s">
        <v>134</v>
      </c>
      <c r="D58" s="6" t="s">
        <v>135</v>
      </c>
      <c r="E58" s="5" t="s">
        <v>10</v>
      </c>
      <c r="F58" s="9" t="s">
        <v>17</v>
      </c>
      <c r="G58" t="s">
        <v>280</v>
      </c>
      <c r="H58" t="s">
        <v>265</v>
      </c>
      <c r="I58" t="s">
        <v>281</v>
      </c>
      <c r="J58" t="s">
        <v>270</v>
      </c>
    </row>
    <row r="59" spans="1:10" ht="21.95" customHeight="1" x14ac:dyDescent="0.25">
      <c r="A59" s="2" t="s">
        <v>109</v>
      </c>
      <c r="B59" s="2" t="s">
        <v>117</v>
      </c>
      <c r="C59" s="3" t="s">
        <v>136</v>
      </c>
      <c r="D59" s="3" t="s">
        <v>137</v>
      </c>
      <c r="E59" s="2" t="s">
        <v>10</v>
      </c>
      <c r="F59" s="8" t="s">
        <v>16</v>
      </c>
      <c r="G59" t="s">
        <v>282</v>
      </c>
      <c r="H59" t="s">
        <v>419</v>
      </c>
      <c r="I59" t="s">
        <v>399</v>
      </c>
      <c r="J59" t="s">
        <v>270</v>
      </c>
    </row>
    <row r="60" spans="1:10" ht="21.95" customHeight="1" x14ac:dyDescent="0.25">
      <c r="A60" s="5" t="s">
        <v>109</v>
      </c>
      <c r="B60" s="5" t="s">
        <v>117</v>
      </c>
      <c r="C60" s="6" t="s">
        <v>138</v>
      </c>
      <c r="D60" s="6" t="s">
        <v>139</v>
      </c>
      <c r="E60" s="5" t="s">
        <v>10</v>
      </c>
      <c r="F60" s="9" t="s">
        <v>17</v>
      </c>
      <c r="G60" t="s">
        <v>283</v>
      </c>
      <c r="H60" t="s">
        <v>265</v>
      </c>
      <c r="I60" t="s">
        <v>284</v>
      </c>
      <c r="J60" t="s">
        <v>270</v>
      </c>
    </row>
    <row r="61" spans="1:10" ht="21.95" customHeight="1" x14ac:dyDescent="0.25">
      <c r="A61" s="2" t="s">
        <v>109</v>
      </c>
      <c r="B61" s="2" t="s">
        <v>117</v>
      </c>
      <c r="C61" s="3" t="s">
        <v>140</v>
      </c>
      <c r="D61" s="3" t="s">
        <v>141</v>
      </c>
      <c r="E61" s="2" t="s">
        <v>10</v>
      </c>
      <c r="F61" s="8" t="s">
        <v>16</v>
      </c>
      <c r="G61" t="s">
        <v>282</v>
      </c>
      <c r="H61" t="s">
        <v>419</v>
      </c>
      <c r="I61" t="s">
        <v>399</v>
      </c>
      <c r="J61" t="s">
        <v>270</v>
      </c>
    </row>
    <row r="62" spans="1:10" ht="21.95" customHeight="1" x14ac:dyDescent="0.25">
      <c r="A62" s="5" t="s">
        <v>109</v>
      </c>
      <c r="B62" s="5" t="s">
        <v>117</v>
      </c>
      <c r="C62" s="6" t="s">
        <v>142</v>
      </c>
      <c r="D62" s="6" t="s">
        <v>143</v>
      </c>
      <c r="E62" s="5" t="s">
        <v>10</v>
      </c>
      <c r="F62" s="8" t="s">
        <v>16</v>
      </c>
      <c r="G62" t="s">
        <v>285</v>
      </c>
      <c r="H62" t="s">
        <v>418</v>
      </c>
      <c r="I62" t="s">
        <v>286</v>
      </c>
      <c r="J62" t="s">
        <v>270</v>
      </c>
    </row>
    <row r="63" spans="1:10" ht="21.95" customHeight="1" x14ac:dyDescent="0.25">
      <c r="A63" s="2" t="s">
        <v>109</v>
      </c>
      <c r="B63" s="2" t="s">
        <v>117</v>
      </c>
      <c r="C63" s="3" t="s">
        <v>144</v>
      </c>
      <c r="D63" s="3" t="s">
        <v>145</v>
      </c>
      <c r="E63" s="2" t="s">
        <v>10</v>
      </c>
      <c r="F63" s="9" t="s">
        <v>17</v>
      </c>
      <c r="G63" t="s">
        <v>287</v>
      </c>
      <c r="H63" t="s">
        <v>418</v>
      </c>
      <c r="I63" t="s">
        <v>288</v>
      </c>
      <c r="J63" t="s">
        <v>270</v>
      </c>
    </row>
    <row r="64" spans="1:10" ht="21.95" customHeight="1" x14ac:dyDescent="0.25">
      <c r="A64" s="5" t="s">
        <v>109</v>
      </c>
      <c r="B64" s="5" t="s">
        <v>117</v>
      </c>
      <c r="C64" s="6" t="s">
        <v>146</v>
      </c>
      <c r="D64" s="6" t="s">
        <v>147</v>
      </c>
      <c r="E64" s="5" t="s">
        <v>10</v>
      </c>
      <c r="F64" s="9" t="s">
        <v>17</v>
      </c>
      <c r="G64" t="s">
        <v>285</v>
      </c>
      <c r="H64" t="s">
        <v>418</v>
      </c>
      <c r="I64" t="s">
        <v>286</v>
      </c>
      <c r="J64" t="s">
        <v>270</v>
      </c>
    </row>
    <row r="65" spans="1:10" ht="21.95" customHeight="1" x14ac:dyDescent="0.25">
      <c r="A65" s="2" t="s">
        <v>109</v>
      </c>
      <c r="B65" s="2" t="s">
        <v>117</v>
      </c>
      <c r="C65" s="3" t="s">
        <v>148</v>
      </c>
      <c r="D65" s="3" t="s">
        <v>149</v>
      </c>
      <c r="E65" s="2" t="s">
        <v>10</v>
      </c>
      <c r="F65" s="9" t="s">
        <v>17</v>
      </c>
      <c r="G65" t="s">
        <v>287</v>
      </c>
      <c r="H65" t="s">
        <v>418</v>
      </c>
      <c r="I65" t="s">
        <v>288</v>
      </c>
      <c r="J65" t="s">
        <v>270</v>
      </c>
    </row>
    <row r="66" spans="1:10" ht="21.95" customHeight="1" x14ac:dyDescent="0.25">
      <c r="A66" s="5" t="s">
        <v>109</v>
      </c>
      <c r="B66" s="5" t="s">
        <v>117</v>
      </c>
      <c r="C66" s="6" t="s">
        <v>150</v>
      </c>
      <c r="D66" s="6" t="s">
        <v>151</v>
      </c>
      <c r="E66" s="5" t="s">
        <v>10</v>
      </c>
      <c r="F66" s="9" t="s">
        <v>17</v>
      </c>
      <c r="G66" t="s">
        <v>287</v>
      </c>
      <c r="H66" t="s">
        <v>418</v>
      </c>
      <c r="I66" t="s">
        <v>288</v>
      </c>
      <c r="J66" t="s">
        <v>270</v>
      </c>
    </row>
    <row r="67" spans="1:10" ht="21.95" customHeight="1" x14ac:dyDescent="0.25">
      <c r="A67" s="2" t="s">
        <v>109</v>
      </c>
      <c r="B67" s="2" t="s">
        <v>117</v>
      </c>
      <c r="C67" s="3" t="s">
        <v>152</v>
      </c>
      <c r="D67" s="3" t="s">
        <v>153</v>
      </c>
      <c r="E67" s="2" t="s">
        <v>10</v>
      </c>
      <c r="F67" s="9" t="s">
        <v>17</v>
      </c>
      <c r="G67" t="s">
        <v>289</v>
      </c>
      <c r="H67" t="s">
        <v>419</v>
      </c>
      <c r="I67" t="s">
        <v>356</v>
      </c>
      <c r="J67" t="s">
        <v>270</v>
      </c>
    </row>
    <row r="68" spans="1:10" ht="21.95" customHeight="1" x14ac:dyDescent="0.25">
      <c r="A68" s="5" t="s">
        <v>154</v>
      </c>
      <c r="B68" s="5" t="s">
        <v>155</v>
      </c>
      <c r="C68" s="6" t="s">
        <v>156</v>
      </c>
      <c r="D68" s="6" t="s">
        <v>157</v>
      </c>
      <c r="E68" s="5" t="s">
        <v>10</v>
      </c>
      <c r="F68" s="9" t="s">
        <v>17</v>
      </c>
      <c r="G68" t="s">
        <v>290</v>
      </c>
      <c r="H68" t="s">
        <v>419</v>
      </c>
      <c r="I68" t="s">
        <v>358</v>
      </c>
      <c r="J68" t="s">
        <v>291</v>
      </c>
    </row>
    <row r="69" spans="1:10" ht="21.95" customHeight="1" x14ac:dyDescent="0.25">
      <c r="A69" s="2" t="s">
        <v>154</v>
      </c>
      <c r="B69" s="2" t="s">
        <v>155</v>
      </c>
      <c r="C69" s="3" t="s">
        <v>158</v>
      </c>
      <c r="D69" s="3" t="s">
        <v>159</v>
      </c>
      <c r="E69" s="2" t="s">
        <v>10</v>
      </c>
      <c r="F69" s="8" t="s">
        <v>16</v>
      </c>
      <c r="G69" t="s">
        <v>290</v>
      </c>
      <c r="H69" t="s">
        <v>419</v>
      </c>
      <c r="I69" t="s">
        <v>358</v>
      </c>
      <c r="J69" t="s">
        <v>291</v>
      </c>
    </row>
    <row r="70" spans="1:10" ht="21.95" customHeight="1" x14ac:dyDescent="0.25">
      <c r="A70" s="5" t="s">
        <v>154</v>
      </c>
      <c r="B70" s="5" t="s">
        <v>155</v>
      </c>
      <c r="C70" s="6" t="s">
        <v>160</v>
      </c>
      <c r="D70" s="6" t="s">
        <v>161</v>
      </c>
      <c r="E70" s="5" t="s">
        <v>10</v>
      </c>
      <c r="F70" s="7" t="s">
        <v>11</v>
      </c>
      <c r="G70" t="s">
        <v>290</v>
      </c>
      <c r="H70" t="s">
        <v>419</v>
      </c>
      <c r="I70" t="s">
        <v>358</v>
      </c>
      <c r="J70" t="s">
        <v>291</v>
      </c>
    </row>
    <row r="71" spans="1:10" ht="21.95" customHeight="1" x14ac:dyDescent="0.25">
      <c r="A71" s="2" t="s">
        <v>154</v>
      </c>
      <c r="B71" s="2" t="s">
        <v>155</v>
      </c>
      <c r="C71" s="3" t="s">
        <v>162</v>
      </c>
      <c r="D71" s="3" t="s">
        <v>163</v>
      </c>
      <c r="E71" s="2" t="s">
        <v>10</v>
      </c>
      <c r="F71" s="8" t="s">
        <v>16</v>
      </c>
      <c r="G71" t="s">
        <v>290</v>
      </c>
      <c r="H71" t="s">
        <v>419</v>
      </c>
      <c r="I71" t="s">
        <v>358</v>
      </c>
      <c r="J71" t="s">
        <v>291</v>
      </c>
    </row>
    <row r="72" spans="1:10" ht="21.95" customHeight="1" x14ac:dyDescent="0.25">
      <c r="A72" s="5" t="s">
        <v>154</v>
      </c>
      <c r="B72" s="5" t="s">
        <v>155</v>
      </c>
      <c r="C72" s="6" t="s">
        <v>164</v>
      </c>
      <c r="D72" s="6" t="s">
        <v>165</v>
      </c>
      <c r="E72" s="5" t="s">
        <v>10</v>
      </c>
      <c r="F72" s="9" t="s">
        <v>17</v>
      </c>
      <c r="G72" t="s">
        <v>292</v>
      </c>
      <c r="H72" t="s">
        <v>418</v>
      </c>
      <c r="I72" t="s">
        <v>293</v>
      </c>
      <c r="J72" t="s">
        <v>291</v>
      </c>
    </row>
    <row r="73" spans="1:10" ht="21.95" customHeight="1" x14ac:dyDescent="0.25">
      <c r="A73" s="2" t="s">
        <v>154</v>
      </c>
      <c r="B73" s="2" t="s">
        <v>155</v>
      </c>
      <c r="C73" s="3" t="s">
        <v>166</v>
      </c>
      <c r="D73" s="3" t="s">
        <v>167</v>
      </c>
      <c r="E73" s="2" t="s">
        <v>10</v>
      </c>
      <c r="F73" s="8" t="s">
        <v>16</v>
      </c>
      <c r="G73" t="s">
        <v>292</v>
      </c>
      <c r="H73" t="s">
        <v>418</v>
      </c>
      <c r="I73" t="s">
        <v>293</v>
      </c>
      <c r="J73" t="s">
        <v>291</v>
      </c>
    </row>
    <row r="74" spans="1:10" ht="21.95" customHeight="1" x14ac:dyDescent="0.25">
      <c r="A74" s="5" t="s">
        <v>154</v>
      </c>
      <c r="B74" s="5" t="s">
        <v>155</v>
      </c>
      <c r="C74" s="6" t="s">
        <v>168</v>
      </c>
      <c r="D74" s="6" t="s">
        <v>169</v>
      </c>
      <c r="E74" s="5" t="s">
        <v>10</v>
      </c>
      <c r="F74" s="8" t="s">
        <v>16</v>
      </c>
      <c r="G74" t="s">
        <v>292</v>
      </c>
      <c r="H74" t="s">
        <v>418</v>
      </c>
      <c r="I74" t="s">
        <v>293</v>
      </c>
      <c r="J74" t="s">
        <v>291</v>
      </c>
    </row>
    <row r="75" spans="1:10" ht="21.95" customHeight="1" x14ac:dyDescent="0.25">
      <c r="A75" s="2" t="s">
        <v>154</v>
      </c>
      <c r="B75" s="2" t="s">
        <v>155</v>
      </c>
      <c r="C75" s="3" t="s">
        <v>170</v>
      </c>
      <c r="D75" s="3" t="s">
        <v>171</v>
      </c>
      <c r="E75" s="2" t="s">
        <v>10</v>
      </c>
      <c r="F75" s="9" t="s">
        <v>17</v>
      </c>
      <c r="G75" t="s">
        <v>294</v>
      </c>
      <c r="H75" t="s">
        <v>419</v>
      </c>
      <c r="I75" t="s">
        <v>363</v>
      </c>
      <c r="J75" t="s">
        <v>291</v>
      </c>
    </row>
    <row r="76" spans="1:10" ht="21.95" customHeight="1" x14ac:dyDescent="0.25">
      <c r="A76" s="5" t="s">
        <v>154</v>
      </c>
      <c r="B76" s="5" t="s">
        <v>155</v>
      </c>
      <c r="C76" s="6" t="s">
        <v>172</v>
      </c>
      <c r="D76" s="6" t="s">
        <v>173</v>
      </c>
      <c r="E76" s="5" t="s">
        <v>10</v>
      </c>
      <c r="F76" s="7" t="s">
        <v>11</v>
      </c>
      <c r="G76" t="s">
        <v>290</v>
      </c>
      <c r="H76" t="s">
        <v>419</v>
      </c>
      <c r="I76" t="s">
        <v>358</v>
      </c>
      <c r="J76" t="s">
        <v>291</v>
      </c>
    </row>
    <row r="77" spans="1:10" ht="21.95" customHeight="1" x14ac:dyDescent="0.25">
      <c r="A77" s="2" t="s">
        <v>154</v>
      </c>
      <c r="B77" s="2" t="s">
        <v>155</v>
      </c>
      <c r="C77" s="3" t="s">
        <v>35</v>
      </c>
      <c r="D77" s="3" t="s">
        <v>174</v>
      </c>
      <c r="E77" s="2" t="s">
        <v>10</v>
      </c>
      <c r="F77" s="8" t="s">
        <v>16</v>
      </c>
      <c r="G77" t="s">
        <v>290</v>
      </c>
      <c r="H77" t="s">
        <v>419</v>
      </c>
      <c r="I77" t="s">
        <v>358</v>
      </c>
      <c r="J77" t="s">
        <v>291</v>
      </c>
    </row>
    <row r="78" spans="1:10" ht="21.95" customHeight="1" x14ac:dyDescent="0.25">
      <c r="A78" s="5" t="s">
        <v>154</v>
      </c>
      <c r="B78" s="5" t="s">
        <v>155</v>
      </c>
      <c r="C78" s="6" t="s">
        <v>175</v>
      </c>
      <c r="D78" s="6" t="s">
        <v>176</v>
      </c>
      <c r="E78" s="5" t="s">
        <v>10</v>
      </c>
      <c r="F78" s="9" t="s">
        <v>17</v>
      </c>
      <c r="G78" t="s">
        <v>295</v>
      </c>
      <c r="H78" t="s">
        <v>419</v>
      </c>
      <c r="I78" t="s">
        <v>365</v>
      </c>
      <c r="J78" t="s">
        <v>291</v>
      </c>
    </row>
    <row r="79" spans="1:10" ht="21.95" customHeight="1" x14ac:dyDescent="0.25">
      <c r="A79" s="2" t="s">
        <v>154</v>
      </c>
      <c r="B79" s="2" t="s">
        <v>155</v>
      </c>
      <c r="C79" s="3" t="s">
        <v>177</v>
      </c>
      <c r="D79" s="3" t="s">
        <v>178</v>
      </c>
      <c r="E79" s="2" t="s">
        <v>10</v>
      </c>
      <c r="F79" s="8" t="s">
        <v>16</v>
      </c>
      <c r="G79" t="s">
        <v>295</v>
      </c>
      <c r="H79" t="s">
        <v>419</v>
      </c>
      <c r="I79" t="s">
        <v>365</v>
      </c>
      <c r="J79" t="s">
        <v>291</v>
      </c>
    </row>
    <row r="80" spans="1:10" ht="21.95" customHeight="1" x14ac:dyDescent="0.25">
      <c r="A80" s="5" t="s">
        <v>154</v>
      </c>
      <c r="B80" s="5" t="s">
        <v>155</v>
      </c>
      <c r="C80" s="6" t="s">
        <v>179</v>
      </c>
      <c r="D80" s="6" t="s">
        <v>180</v>
      </c>
      <c r="E80" s="5" t="s">
        <v>10</v>
      </c>
      <c r="F80" s="9" t="s">
        <v>17</v>
      </c>
      <c r="G80" t="s">
        <v>295</v>
      </c>
      <c r="H80" t="s">
        <v>419</v>
      </c>
      <c r="I80" t="s">
        <v>365</v>
      </c>
      <c r="J80" t="s">
        <v>291</v>
      </c>
    </row>
    <row r="81" spans="1:10" ht="21.95" customHeight="1" x14ac:dyDescent="0.25">
      <c r="A81" s="2" t="s">
        <v>154</v>
      </c>
      <c r="B81" s="2" t="s">
        <v>155</v>
      </c>
      <c r="C81" s="3" t="s">
        <v>181</v>
      </c>
      <c r="D81" s="3" t="s">
        <v>182</v>
      </c>
      <c r="E81" s="2" t="s">
        <v>10</v>
      </c>
      <c r="F81" s="9" t="s">
        <v>17</v>
      </c>
      <c r="G81" t="s">
        <v>296</v>
      </c>
      <c r="H81" t="s">
        <v>419</v>
      </c>
      <c r="I81" t="s">
        <v>368</v>
      </c>
      <c r="J81" t="s">
        <v>291</v>
      </c>
    </row>
    <row r="82" spans="1:10" ht="21.95" customHeight="1" x14ac:dyDescent="0.25">
      <c r="A82" s="5" t="s">
        <v>154</v>
      </c>
      <c r="B82" s="5" t="s">
        <v>183</v>
      </c>
      <c r="C82" s="6" t="s">
        <v>184</v>
      </c>
      <c r="D82" s="6" t="s">
        <v>185</v>
      </c>
      <c r="E82" s="5" t="s">
        <v>10</v>
      </c>
      <c r="F82" s="9" t="s">
        <v>17</v>
      </c>
      <c r="G82" t="s">
        <v>297</v>
      </c>
      <c r="H82" t="s">
        <v>419</v>
      </c>
      <c r="I82" t="s">
        <v>370</v>
      </c>
      <c r="J82" t="s">
        <v>291</v>
      </c>
    </row>
    <row r="83" spans="1:10" ht="21.95" customHeight="1" x14ac:dyDescent="0.25">
      <c r="A83" s="2" t="s">
        <v>186</v>
      </c>
      <c r="B83" s="2" t="s">
        <v>187</v>
      </c>
      <c r="C83" s="3" t="s">
        <v>188</v>
      </c>
      <c r="D83" s="3" t="s">
        <v>189</v>
      </c>
      <c r="E83" s="2" t="s">
        <v>10</v>
      </c>
      <c r="F83" s="8" t="s">
        <v>16</v>
      </c>
      <c r="G83" t="s">
        <v>298</v>
      </c>
      <c r="H83" t="s">
        <v>419</v>
      </c>
      <c r="I83" t="s">
        <v>372</v>
      </c>
      <c r="J83" t="s">
        <v>299</v>
      </c>
    </row>
    <row r="84" spans="1:10" ht="21.95" customHeight="1" x14ac:dyDescent="0.25">
      <c r="A84" s="5" t="s">
        <v>186</v>
      </c>
      <c r="B84" s="5" t="s">
        <v>187</v>
      </c>
      <c r="C84" s="6" t="s">
        <v>190</v>
      </c>
      <c r="D84" s="6" t="s">
        <v>191</v>
      </c>
      <c r="E84" s="5" t="s">
        <v>10</v>
      </c>
      <c r="F84" s="8" t="s">
        <v>16</v>
      </c>
      <c r="G84" t="s">
        <v>298</v>
      </c>
      <c r="H84" t="s">
        <v>419</v>
      </c>
      <c r="I84" t="s">
        <v>372</v>
      </c>
      <c r="J84" t="s">
        <v>299</v>
      </c>
    </row>
    <row r="85" spans="1:10" ht="21.95" customHeight="1" x14ac:dyDescent="0.25">
      <c r="A85" s="2" t="s">
        <v>186</v>
      </c>
      <c r="B85" s="2" t="s">
        <v>192</v>
      </c>
      <c r="C85" s="3" t="s">
        <v>193</v>
      </c>
      <c r="D85" s="3" t="s">
        <v>194</v>
      </c>
      <c r="E85" s="2" t="s">
        <v>10</v>
      </c>
      <c r="F85" s="4" t="s">
        <v>11</v>
      </c>
      <c r="G85" t="s">
        <v>298</v>
      </c>
      <c r="H85" t="s">
        <v>419</v>
      </c>
      <c r="I85" t="s">
        <v>372</v>
      </c>
      <c r="J85" t="s">
        <v>299</v>
      </c>
    </row>
    <row r="86" spans="1:10" ht="21.95" customHeight="1" x14ac:dyDescent="0.25">
      <c r="A86" s="5" t="s">
        <v>186</v>
      </c>
      <c r="B86" s="5" t="s">
        <v>192</v>
      </c>
      <c r="C86" s="6" t="s">
        <v>195</v>
      </c>
      <c r="D86" s="6" t="s">
        <v>196</v>
      </c>
      <c r="E86" s="5" t="s">
        <v>10</v>
      </c>
      <c r="F86" s="9" t="s">
        <v>17</v>
      </c>
      <c r="G86" t="s">
        <v>298</v>
      </c>
      <c r="H86" t="s">
        <v>419</v>
      </c>
      <c r="I86" t="s">
        <v>372</v>
      </c>
      <c r="J86" t="s">
        <v>299</v>
      </c>
    </row>
    <row r="87" spans="1:10" ht="21.95" customHeight="1" x14ac:dyDescent="0.25">
      <c r="A87" s="2" t="s">
        <v>186</v>
      </c>
      <c r="B87" s="2" t="s">
        <v>197</v>
      </c>
      <c r="C87" s="3" t="s">
        <v>198</v>
      </c>
      <c r="D87" s="3" t="s">
        <v>199</v>
      </c>
      <c r="E87" s="2" t="s">
        <v>10</v>
      </c>
      <c r="F87" s="4" t="s">
        <v>11</v>
      </c>
      <c r="G87" t="s">
        <v>300</v>
      </c>
      <c r="H87" t="s">
        <v>265</v>
      </c>
      <c r="I87" t="s">
        <v>301</v>
      </c>
      <c r="J87" t="s">
        <v>299</v>
      </c>
    </row>
    <row r="88" spans="1:10" ht="21.95" customHeight="1" x14ac:dyDescent="0.25">
      <c r="A88" s="5" t="s">
        <v>186</v>
      </c>
      <c r="B88" s="5" t="s">
        <v>197</v>
      </c>
      <c r="C88" s="6" t="s">
        <v>200</v>
      </c>
      <c r="D88" s="6" t="s">
        <v>201</v>
      </c>
      <c r="E88" s="5" t="s">
        <v>10</v>
      </c>
      <c r="F88" s="9" t="s">
        <v>17</v>
      </c>
      <c r="G88" t="s">
        <v>300</v>
      </c>
      <c r="H88" t="s">
        <v>265</v>
      </c>
      <c r="I88" t="s">
        <v>301</v>
      </c>
      <c r="J88" t="s">
        <v>299</v>
      </c>
    </row>
    <row r="89" spans="1:10" ht="21.95" customHeight="1" x14ac:dyDescent="0.25">
      <c r="A89" s="2" t="s">
        <v>186</v>
      </c>
      <c r="B89" s="2" t="s">
        <v>197</v>
      </c>
      <c r="C89" s="3" t="s">
        <v>202</v>
      </c>
      <c r="D89" s="3" t="s">
        <v>203</v>
      </c>
      <c r="E89" s="2" t="s">
        <v>10</v>
      </c>
      <c r="F89" s="9" t="s">
        <v>17</v>
      </c>
      <c r="G89" t="s">
        <v>302</v>
      </c>
      <c r="H89" t="s">
        <v>419</v>
      </c>
      <c r="I89" t="s">
        <v>377</v>
      </c>
      <c r="J89" t="s">
        <v>299</v>
      </c>
    </row>
    <row r="90" spans="1:10" ht="21.95" customHeight="1" x14ac:dyDescent="0.25">
      <c r="A90" s="5" t="s">
        <v>186</v>
      </c>
      <c r="B90" s="5" t="s">
        <v>197</v>
      </c>
      <c r="C90" s="6" t="s">
        <v>204</v>
      </c>
      <c r="D90" s="6" t="s">
        <v>205</v>
      </c>
      <c r="E90" s="5" t="s">
        <v>10</v>
      </c>
      <c r="F90" s="9" t="s">
        <v>17</v>
      </c>
      <c r="G90" t="s">
        <v>302</v>
      </c>
      <c r="H90" t="s">
        <v>419</v>
      </c>
      <c r="I90" t="s">
        <v>377</v>
      </c>
      <c r="J90" t="s">
        <v>299</v>
      </c>
    </row>
    <row r="91" spans="1:10" ht="21.95" customHeight="1" x14ac:dyDescent="0.25">
      <c r="A91" s="2" t="s">
        <v>186</v>
      </c>
      <c r="B91" s="2" t="s">
        <v>197</v>
      </c>
      <c r="C91" s="3" t="s">
        <v>206</v>
      </c>
      <c r="D91" s="3" t="s">
        <v>207</v>
      </c>
      <c r="E91" s="2" t="s">
        <v>10</v>
      </c>
      <c r="F91" s="9" t="s">
        <v>17</v>
      </c>
      <c r="G91" t="s">
        <v>302</v>
      </c>
      <c r="H91" t="s">
        <v>419</v>
      </c>
      <c r="I91" t="s">
        <v>377</v>
      </c>
      <c r="J91" t="s">
        <v>299</v>
      </c>
    </row>
    <row r="92" spans="1:10" ht="21.95" customHeight="1" x14ac:dyDescent="0.25">
      <c r="A92" s="5" t="s">
        <v>186</v>
      </c>
      <c r="B92" s="5" t="s">
        <v>197</v>
      </c>
      <c r="C92" s="6" t="s">
        <v>208</v>
      </c>
      <c r="D92" s="6" t="s">
        <v>209</v>
      </c>
      <c r="E92" s="5" t="s">
        <v>10</v>
      </c>
      <c r="F92" s="9" t="s">
        <v>17</v>
      </c>
      <c r="G92" t="s">
        <v>302</v>
      </c>
      <c r="H92" t="s">
        <v>419</v>
      </c>
      <c r="I92" t="s">
        <v>377</v>
      </c>
      <c r="J92" t="s">
        <v>299</v>
      </c>
    </row>
    <row r="93" spans="1:10" ht="21.95" customHeight="1" x14ac:dyDescent="0.25">
      <c r="A93" s="2" t="s">
        <v>210</v>
      </c>
      <c r="B93" s="2" t="s">
        <v>211</v>
      </c>
      <c r="C93" s="3" t="s">
        <v>212</v>
      </c>
      <c r="D93" s="3" t="s">
        <v>213</v>
      </c>
      <c r="E93" s="2" t="s">
        <v>10</v>
      </c>
      <c r="F93" s="4" t="s">
        <v>11</v>
      </c>
      <c r="G93" t="s">
        <v>303</v>
      </c>
      <c r="H93" t="s">
        <v>420</v>
      </c>
      <c r="I93" t="s">
        <v>421</v>
      </c>
      <c r="J93" t="s">
        <v>304</v>
      </c>
    </row>
    <row r="94" spans="1:10" ht="21.95" customHeight="1" x14ac:dyDescent="0.25">
      <c r="A94" s="5" t="s">
        <v>210</v>
      </c>
      <c r="B94" s="5" t="s">
        <v>211</v>
      </c>
      <c r="C94" s="6" t="s">
        <v>214</v>
      </c>
      <c r="D94" s="6" t="s">
        <v>215</v>
      </c>
      <c r="E94" s="5" t="s">
        <v>10</v>
      </c>
      <c r="F94" s="9" t="s">
        <v>17</v>
      </c>
      <c r="G94" t="s">
        <v>305</v>
      </c>
      <c r="H94" t="s">
        <v>420</v>
      </c>
      <c r="I94" t="s">
        <v>422</v>
      </c>
      <c r="J94" t="s">
        <v>304</v>
      </c>
    </row>
    <row r="95" spans="1:10" ht="21.95" customHeight="1" x14ac:dyDescent="0.25">
      <c r="A95" s="2" t="s">
        <v>210</v>
      </c>
      <c r="B95" s="2" t="s">
        <v>211</v>
      </c>
      <c r="C95" s="3" t="s">
        <v>216</v>
      </c>
      <c r="D95" s="3" t="s">
        <v>217</v>
      </c>
      <c r="E95" s="2" t="s">
        <v>10</v>
      </c>
      <c r="F95" s="9" t="s">
        <v>17</v>
      </c>
      <c r="G95" t="s">
        <v>306</v>
      </c>
      <c r="H95" t="s">
        <v>420</v>
      </c>
      <c r="I95" t="s">
        <v>423</v>
      </c>
      <c r="J95" t="s">
        <v>304</v>
      </c>
    </row>
    <row r="96" spans="1:10" ht="21.95" customHeight="1" x14ac:dyDescent="0.25">
      <c r="A96" s="5" t="s">
        <v>210</v>
      </c>
      <c r="B96" s="5" t="s">
        <v>211</v>
      </c>
      <c r="C96" s="6" t="s">
        <v>218</v>
      </c>
      <c r="D96" s="6" t="s">
        <v>219</v>
      </c>
      <c r="E96" s="5" t="s">
        <v>10</v>
      </c>
      <c r="F96" s="9" t="s">
        <v>17</v>
      </c>
      <c r="G96" t="s">
        <v>307</v>
      </c>
      <c r="H96" t="s">
        <v>420</v>
      </c>
      <c r="I96" t="s">
        <v>424</v>
      </c>
      <c r="J96" t="s">
        <v>304</v>
      </c>
    </row>
    <row r="97" spans="1:10" ht="21.95" customHeight="1" x14ac:dyDescent="0.25">
      <c r="A97" s="2" t="s">
        <v>210</v>
      </c>
      <c r="B97" s="2" t="s">
        <v>211</v>
      </c>
      <c r="C97" s="3" t="s">
        <v>220</v>
      </c>
      <c r="D97" s="3" t="s">
        <v>221</v>
      </c>
      <c r="E97" s="2" t="s">
        <v>10</v>
      </c>
      <c r="F97" s="9" t="s">
        <v>17</v>
      </c>
      <c r="G97" t="s">
        <v>308</v>
      </c>
      <c r="H97" t="s">
        <v>420</v>
      </c>
      <c r="I97" t="s">
        <v>425</v>
      </c>
      <c r="J97" t="s">
        <v>304</v>
      </c>
    </row>
    <row r="98" spans="1:10" ht="21.95" customHeight="1" x14ac:dyDescent="0.25">
      <c r="A98" s="5" t="s">
        <v>210</v>
      </c>
      <c r="B98" s="5" t="s">
        <v>211</v>
      </c>
      <c r="C98" s="6" t="s">
        <v>222</v>
      </c>
      <c r="D98" s="6" t="s">
        <v>223</v>
      </c>
      <c r="E98" s="5" t="s">
        <v>10</v>
      </c>
      <c r="F98" s="9" t="s">
        <v>17</v>
      </c>
      <c r="G98" t="s">
        <v>309</v>
      </c>
      <c r="H98" t="s">
        <v>420</v>
      </c>
      <c r="I98" t="s">
        <v>426</v>
      </c>
      <c r="J98" t="s">
        <v>304</v>
      </c>
    </row>
    <row r="99" spans="1:10" ht="21.95" customHeight="1" x14ac:dyDescent="0.25">
      <c r="A99" s="2" t="s">
        <v>210</v>
      </c>
      <c r="B99" s="2" t="s">
        <v>211</v>
      </c>
      <c r="C99" s="3" t="s">
        <v>224</v>
      </c>
      <c r="D99" s="3" t="s">
        <v>225</v>
      </c>
      <c r="E99" s="2" t="s">
        <v>10</v>
      </c>
      <c r="F99" s="9" t="s">
        <v>17</v>
      </c>
      <c r="G99" t="s">
        <v>310</v>
      </c>
      <c r="H99" t="s">
        <v>420</v>
      </c>
      <c r="I99" t="s">
        <v>427</v>
      </c>
      <c r="J99" t="s">
        <v>304</v>
      </c>
    </row>
    <row r="100" spans="1:10" ht="21.95" customHeight="1" x14ac:dyDescent="0.25">
      <c r="A100" s="5" t="s">
        <v>210</v>
      </c>
      <c r="B100" s="5" t="s">
        <v>226</v>
      </c>
      <c r="C100" s="6" t="s">
        <v>227</v>
      </c>
      <c r="D100" s="6" t="s">
        <v>228</v>
      </c>
      <c r="E100" s="5" t="s">
        <v>10</v>
      </c>
      <c r="F100" s="7" t="s">
        <v>11</v>
      </c>
      <c r="G100" t="s">
        <v>311</v>
      </c>
      <c r="H100" t="s">
        <v>420</v>
      </c>
      <c r="I100" t="s">
        <v>428</v>
      </c>
      <c r="J100" t="s">
        <v>304</v>
      </c>
    </row>
    <row r="101" spans="1:10" ht="21.95" customHeight="1" x14ac:dyDescent="0.25">
      <c r="A101" s="2" t="s">
        <v>210</v>
      </c>
      <c r="B101" s="2" t="s">
        <v>226</v>
      </c>
      <c r="C101" s="3" t="s">
        <v>229</v>
      </c>
      <c r="D101" s="3" t="s">
        <v>230</v>
      </c>
      <c r="E101" s="2" t="s">
        <v>10</v>
      </c>
      <c r="F101" s="9" t="s">
        <v>17</v>
      </c>
      <c r="G101" t="s">
        <v>311</v>
      </c>
      <c r="H101" t="s">
        <v>420</v>
      </c>
      <c r="I101" t="s">
        <v>428</v>
      </c>
      <c r="J101" t="s">
        <v>304</v>
      </c>
    </row>
    <row r="102" spans="1:10" ht="21.95" customHeight="1" x14ac:dyDescent="0.25">
      <c r="A102" s="5" t="s">
        <v>210</v>
      </c>
      <c r="B102" s="5" t="s">
        <v>226</v>
      </c>
      <c r="C102" s="6" t="s">
        <v>231</v>
      </c>
      <c r="D102" s="6" t="s">
        <v>232</v>
      </c>
      <c r="E102" s="5" t="s">
        <v>10</v>
      </c>
      <c r="F102" s="9" t="s">
        <v>17</v>
      </c>
      <c r="G102" t="s">
        <v>311</v>
      </c>
      <c r="H102" t="s">
        <v>420</v>
      </c>
      <c r="I102" t="s">
        <v>428</v>
      </c>
      <c r="J102" t="s">
        <v>304</v>
      </c>
    </row>
    <row r="103" spans="1:10" ht="21.95" customHeight="1" x14ac:dyDescent="0.25">
      <c r="A103" s="2" t="s">
        <v>210</v>
      </c>
      <c r="B103" s="2" t="s">
        <v>233</v>
      </c>
      <c r="C103" s="3" t="s">
        <v>234</v>
      </c>
      <c r="D103" s="3" t="s">
        <v>235</v>
      </c>
      <c r="E103" s="2" t="s">
        <v>10</v>
      </c>
      <c r="F103" s="4" t="s">
        <v>11</v>
      </c>
      <c r="G103" t="s">
        <v>312</v>
      </c>
      <c r="H103" t="s">
        <v>420</v>
      </c>
      <c r="I103" t="s">
        <v>429</v>
      </c>
      <c r="J103" t="s">
        <v>304</v>
      </c>
    </row>
    <row r="104" spans="1:10" ht="21.95" customHeight="1" x14ac:dyDescent="0.25">
      <c r="A104" s="5" t="s">
        <v>210</v>
      </c>
      <c r="B104" s="5" t="s">
        <v>233</v>
      </c>
      <c r="C104" s="6" t="s">
        <v>236</v>
      </c>
      <c r="D104" s="6" t="s">
        <v>237</v>
      </c>
      <c r="E104" s="5" t="s">
        <v>10</v>
      </c>
      <c r="F104" s="7" t="s">
        <v>11</v>
      </c>
      <c r="G104" t="s">
        <v>312</v>
      </c>
      <c r="H104" t="s">
        <v>420</v>
      </c>
      <c r="I104" t="s">
        <v>429</v>
      </c>
      <c r="J104" t="s">
        <v>304</v>
      </c>
    </row>
    <row r="105" spans="1:10" ht="21.95" customHeight="1" x14ac:dyDescent="0.25">
      <c r="A105" s="2" t="s">
        <v>210</v>
      </c>
      <c r="B105" s="2" t="s">
        <v>233</v>
      </c>
      <c r="C105" s="3" t="s">
        <v>238</v>
      </c>
      <c r="D105" s="3" t="s">
        <v>239</v>
      </c>
      <c r="E105" s="2" t="s">
        <v>10</v>
      </c>
      <c r="F105" s="9" t="s">
        <v>17</v>
      </c>
      <c r="G105" t="s">
        <v>312</v>
      </c>
      <c r="H105" t="s">
        <v>420</v>
      </c>
      <c r="I105" t="s">
        <v>429</v>
      </c>
      <c r="J105" t="s">
        <v>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5" x14ac:dyDescent="0.25"/>
  <cols>
    <col min="1" max="1" width="10" customWidth="1"/>
    <col min="2" max="2" width="35" customWidth="1"/>
    <col min="3" max="3" width="20" customWidth="1"/>
    <col min="4" max="4" width="18" customWidth="1"/>
  </cols>
  <sheetData>
    <row r="1" spans="1:4" ht="39.950000000000003" customHeight="1" x14ac:dyDescent="0.25">
      <c r="A1" s="18" t="s">
        <v>241</v>
      </c>
      <c r="B1" s="19"/>
      <c r="C1" s="19"/>
      <c r="D1" s="19"/>
    </row>
    <row r="2" spans="1:4" ht="24.95" customHeight="1" x14ac:dyDescent="0.25">
      <c r="A2" s="10" t="s">
        <v>242</v>
      </c>
      <c r="B2" s="10" t="s">
        <v>243</v>
      </c>
      <c r="C2" s="10" t="s">
        <v>244</v>
      </c>
      <c r="D2" s="10" t="s">
        <v>245</v>
      </c>
    </row>
    <row r="3" spans="1:4" ht="21.95" customHeight="1" x14ac:dyDescent="0.25">
      <c r="A3" s="2">
        <v>1</v>
      </c>
      <c r="B3" s="3" t="s">
        <v>6</v>
      </c>
      <c r="C3" s="11">
        <v>8</v>
      </c>
      <c r="D3" s="12">
        <f t="shared" ref="D3:D10" si="0">C3/SUM($C$3:$C$10)</f>
        <v>7.476635514018691E-2</v>
      </c>
    </row>
    <row r="4" spans="1:4" ht="21.95" customHeight="1" x14ac:dyDescent="0.25">
      <c r="A4" s="5">
        <v>2</v>
      </c>
      <c r="B4" s="6" t="s">
        <v>27</v>
      </c>
      <c r="C4" s="13">
        <v>13</v>
      </c>
      <c r="D4" s="14">
        <f t="shared" si="0"/>
        <v>0.12149532710280374</v>
      </c>
    </row>
    <row r="5" spans="1:4" ht="21.95" customHeight="1" x14ac:dyDescent="0.25">
      <c r="A5" s="2">
        <v>3</v>
      </c>
      <c r="B5" s="3" t="s">
        <v>56</v>
      </c>
      <c r="C5" s="11">
        <v>25</v>
      </c>
      <c r="D5" s="12">
        <f t="shared" si="0"/>
        <v>0.23364485981308411</v>
      </c>
    </row>
    <row r="6" spans="1:4" ht="21.95" customHeight="1" x14ac:dyDescent="0.25">
      <c r="A6" s="5">
        <v>4</v>
      </c>
      <c r="B6" s="6" t="s">
        <v>109</v>
      </c>
      <c r="C6" s="13">
        <v>21</v>
      </c>
      <c r="D6" s="14">
        <f t="shared" si="0"/>
        <v>0.19626168224299065</v>
      </c>
    </row>
    <row r="7" spans="1:4" ht="21.95" customHeight="1" x14ac:dyDescent="0.25">
      <c r="A7" s="2">
        <v>5</v>
      </c>
      <c r="B7" s="3" t="s">
        <v>154</v>
      </c>
      <c r="C7" s="11">
        <v>15</v>
      </c>
      <c r="D7" s="12">
        <f t="shared" si="0"/>
        <v>0.14018691588785046</v>
      </c>
    </row>
    <row r="8" spans="1:4" ht="21.95" customHeight="1" x14ac:dyDescent="0.25">
      <c r="A8" s="5">
        <v>6</v>
      </c>
      <c r="B8" s="6" t="s">
        <v>186</v>
      </c>
      <c r="C8" s="13">
        <v>10</v>
      </c>
      <c r="D8" s="14">
        <f t="shared" si="0"/>
        <v>9.3457943925233641E-2</v>
      </c>
    </row>
    <row r="9" spans="1:4" ht="21.95" customHeight="1" x14ac:dyDescent="0.25">
      <c r="A9" s="2">
        <v>7</v>
      </c>
      <c r="B9" s="3" t="s">
        <v>210</v>
      </c>
      <c r="C9" s="11">
        <v>13</v>
      </c>
      <c r="D9" s="12">
        <f t="shared" si="0"/>
        <v>0.12149532710280374</v>
      </c>
    </row>
    <row r="10" spans="1:4" ht="21.95" customHeight="1" x14ac:dyDescent="0.25">
      <c r="A10" s="5">
        <v>8</v>
      </c>
      <c r="B10" s="6" t="s">
        <v>240</v>
      </c>
      <c r="C10" s="13">
        <v>2</v>
      </c>
      <c r="D10" s="14">
        <f t="shared" si="0"/>
        <v>1.8691588785046728E-2</v>
      </c>
    </row>
    <row r="11" spans="1:4" ht="24" customHeight="1" x14ac:dyDescent="0.3">
      <c r="A11" s="15"/>
      <c r="B11" s="15" t="s">
        <v>246</v>
      </c>
      <c r="C11" s="16">
        <f>SUM(C3:C10)</f>
        <v>107</v>
      </c>
      <c r="D11" s="17">
        <f>SUM(D3:D10)</f>
        <v>1</v>
      </c>
    </row>
    <row r="13" spans="1:4" x14ac:dyDescent="0.25">
      <c r="A13" t="s">
        <v>416</v>
      </c>
    </row>
    <row r="14" spans="1:4" x14ac:dyDescent="0.25">
      <c r="A14" t="s">
        <v>248</v>
      </c>
      <c r="B14" t="s">
        <v>417</v>
      </c>
    </row>
    <row r="15" spans="1:4" x14ac:dyDescent="0.25">
      <c r="A15" t="s">
        <v>418</v>
      </c>
      <c r="B15">
        <v>5</v>
      </c>
    </row>
    <row r="16" spans="1:4" x14ac:dyDescent="0.25">
      <c r="A16" t="s">
        <v>265</v>
      </c>
      <c r="B16">
        <v>9</v>
      </c>
    </row>
    <row r="17" spans="1:2" x14ac:dyDescent="0.25">
      <c r="A17" t="s">
        <v>420</v>
      </c>
      <c r="B17">
        <v>9</v>
      </c>
    </row>
    <row r="18" spans="1:2" x14ac:dyDescent="0.25">
      <c r="A18" t="s">
        <v>419</v>
      </c>
      <c r="B18">
        <v>18</v>
      </c>
    </row>
    <row r="19" spans="1:2" x14ac:dyDescent="0.25">
      <c r="A19" t="s">
        <v>246</v>
      </c>
      <c r="B19">
        <v>41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 Mapping</vt:lpstr>
      <vt:lpstr>Content Clusters</vt:lpstr>
      <vt:lpstr>Keyword Mapping</vt:lpstr>
      <vt:lpstr>Mindmap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Viết Lộc</cp:lastModifiedBy>
  <dcterms:created xsi:type="dcterms:W3CDTF">2026-08-13T09:03:43Z</dcterms:created>
  <dcterms:modified xsi:type="dcterms:W3CDTF">2026-08-13T10:05:29Z</dcterms:modified>
</cp:coreProperties>
</file>